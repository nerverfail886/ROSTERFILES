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\Downloads\"/>
    </mc:Choice>
  </mc:AlternateContent>
  <xr:revisionPtr revIDLastSave="0" documentId="13_ncr:1_{B9E3A035-0CA5-4470-9CB7-008FB24842D3}" xr6:coauthVersionLast="47" xr6:coauthVersionMax="47" xr10:uidLastSave="{00000000-0000-0000-0000-000000000000}"/>
  <bookViews>
    <workbookView xWindow="28680" yWindow="-120" windowWidth="29040" windowHeight="15840" tabRatio="843" activeTab="1" xr2:uid="{353DBD92-ACA6-4B2D-A7A7-85F64B4087A3}"/>
  </bookViews>
  <sheets>
    <sheet name="NO FLT LIST" sheetId="32" r:id="rId1"/>
    <sheet name="FINAL ASSEMBLY" sheetId="31" r:id="rId2"/>
    <sheet name="EY SALAD" sheetId="23" r:id="rId3"/>
    <sheet name="Sandwich " sheetId="30" r:id="rId4"/>
    <sheet name="Protein" sheetId="27" r:id="rId5"/>
    <sheet name="Dressing" sheetId="19" r:id="rId6"/>
    <sheet name="Cooking list" sheetId="29" r:id="rId7"/>
    <sheet name="BC FRUIT" sheetId="28" r:id="rId8"/>
  </sheets>
  <definedNames>
    <definedName name="_xlnm._FilterDatabase" localSheetId="7" hidden="1">'BC FRUIT'!$A$2:$I$229</definedName>
    <definedName name="_xlnm._FilterDatabase" localSheetId="6" hidden="1">'Cooking list'!$A$3:$I$61</definedName>
    <definedName name="_xlnm._FilterDatabase" localSheetId="5" hidden="1">Dressing!$A$3:$N$47</definedName>
    <definedName name="_xlnm._FilterDatabase" localSheetId="2" hidden="1">'EY SALAD'!$A$2:$K$47</definedName>
    <definedName name="_xlnm._FilterDatabase" localSheetId="1" hidden="1">'FINAL ASSEMBLY'!$A$3:$H$3</definedName>
    <definedName name="_xlnm._FilterDatabase" localSheetId="4" hidden="1">Protein!$A$3:$L$78</definedName>
    <definedName name="_xlnm._FilterDatabase" localSheetId="3" hidden="1">'Sandwich '!$A$2:$J$220</definedName>
    <definedName name="_xlnm.Print_Area" localSheetId="7">'BC FRUIT'!$A$1:$I$229</definedName>
    <definedName name="_xlnm.Print_Area" localSheetId="6">'Cooking list'!$B$1:$I$61</definedName>
    <definedName name="_xlnm.Print_Area" localSheetId="5">Dressing!$B$1:$N$47</definedName>
    <definedName name="_xlnm.Print_Area" localSheetId="2">'EY SALAD'!$C$1:$K$47</definedName>
    <definedName name="_xlnm.Print_Area" localSheetId="4">Protein!$C$1:$L$78</definedName>
    <definedName name="_xlnm.Print_Area" localSheetId="3">'Sandwich '!$A$1:$J$220</definedName>
    <definedName name="_xlnm.Print_Titles" localSheetId="6">'Cooking list'!$1:$3</definedName>
    <definedName name="_xlnm.Print_Titles" localSheetId="5">Dressing!$1:$3</definedName>
    <definedName name="_xlnm.Print_Titles" localSheetId="3">'Sandwich '!$1:$2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27" l="1"/>
  <c r="H29" i="27"/>
  <c r="I10" i="27"/>
  <c r="H10" i="27"/>
  <c r="G75" i="30"/>
  <c r="F75" i="30"/>
  <c r="F74" i="30"/>
  <c r="G1" i="27"/>
  <c r="I31" i="27"/>
  <c r="F6" i="29"/>
  <c r="H2" i="31"/>
  <c r="H1" i="31"/>
  <c r="E1" i="31"/>
  <c r="F18" i="28" l="1"/>
  <c r="F17" i="28"/>
  <c r="F16" i="28"/>
  <c r="F15" i="28"/>
  <c r="F11" i="28"/>
  <c r="F10" i="28"/>
  <c r="F9" i="28"/>
  <c r="F8" i="28"/>
  <c r="F7" i="28"/>
  <c r="F192" i="28" l="1"/>
  <c r="F193" i="28"/>
  <c r="F194" i="28"/>
  <c r="F191" i="28"/>
  <c r="F155" i="28"/>
  <c r="F156" i="28"/>
  <c r="F157" i="28"/>
  <c r="F154" i="28"/>
  <c r="F30" i="28" l="1"/>
  <c r="F28" i="28"/>
  <c r="F29" i="28"/>
  <c r="F27" i="28"/>
  <c r="F26" i="28"/>
  <c r="F53" i="29"/>
  <c r="F13" i="29"/>
  <c r="F49" i="29"/>
  <c r="F50" i="29"/>
  <c r="F23" i="29"/>
  <c r="F34" i="29"/>
  <c r="F27" i="29"/>
  <c r="F58" i="29"/>
  <c r="F36" i="29"/>
  <c r="F59" i="29"/>
  <c r="F42" i="29" l="1"/>
  <c r="F16" i="19" l="1"/>
  <c r="I13" i="27"/>
  <c r="H13" i="27"/>
  <c r="I65" i="27"/>
  <c r="H65" i="27"/>
  <c r="I41" i="27"/>
  <c r="H41" i="27"/>
  <c r="I63" i="27"/>
  <c r="H63" i="27"/>
  <c r="I51" i="27"/>
  <c r="H51" i="27"/>
  <c r="I48" i="27" l="1"/>
  <c r="H48" i="27"/>
  <c r="I44" i="27"/>
  <c r="H44" i="27"/>
  <c r="G113" i="30" l="1"/>
  <c r="F113" i="30"/>
  <c r="G202" i="30" l="1"/>
  <c r="G203" i="30"/>
  <c r="G204" i="30"/>
  <c r="G205" i="30"/>
  <c r="G201" i="30"/>
  <c r="F202" i="30"/>
  <c r="F203" i="30"/>
  <c r="F204" i="30"/>
  <c r="F205" i="30"/>
  <c r="F201" i="30"/>
  <c r="G197" i="30"/>
  <c r="F197" i="30"/>
  <c r="G148" i="30"/>
  <c r="G149" i="30"/>
  <c r="G147" i="30"/>
  <c r="F148" i="30"/>
  <c r="F149" i="30"/>
  <c r="F147" i="30"/>
  <c r="F151" i="30"/>
  <c r="G128" i="30"/>
  <c r="F128" i="30"/>
  <c r="G123" i="30"/>
  <c r="G124" i="30"/>
  <c r="G122" i="30"/>
  <c r="F123" i="30"/>
  <c r="F124" i="30"/>
  <c r="F122" i="30"/>
  <c r="F119" i="30"/>
  <c r="F120" i="30"/>
  <c r="G58" i="30" l="1"/>
  <c r="G59" i="30"/>
  <c r="G57" i="30"/>
  <c r="F58" i="30"/>
  <c r="F59" i="30"/>
  <c r="F57" i="30"/>
  <c r="G83" i="30"/>
  <c r="G80" i="30"/>
  <c r="G81" i="30"/>
  <c r="G82" i="30"/>
  <c r="G79" i="30"/>
  <c r="F83" i="30"/>
  <c r="F71" i="30"/>
  <c r="G70" i="30"/>
  <c r="F70" i="30"/>
  <c r="G69" i="30"/>
  <c r="F69" i="30"/>
  <c r="G65" i="30"/>
  <c r="F65" i="30"/>
  <c r="F66" i="30"/>
  <c r="G61" i="30"/>
  <c r="F61" i="30"/>
  <c r="G54" i="30"/>
  <c r="F54" i="30"/>
  <c r="G53" i="30"/>
  <c r="F53" i="30"/>
  <c r="G50" i="30"/>
  <c r="G49" i="30"/>
  <c r="F50" i="30"/>
  <c r="F49" i="30"/>
  <c r="G46" i="30"/>
  <c r="G47" i="30"/>
  <c r="G45" i="30"/>
  <c r="F46" i="30"/>
  <c r="F47" i="30"/>
  <c r="F45" i="30"/>
  <c r="F36" i="30"/>
  <c r="G36" i="30"/>
  <c r="G35" i="30"/>
  <c r="G34" i="30"/>
  <c r="F35" i="30"/>
  <c r="F34" i="30"/>
  <c r="F1" i="30"/>
  <c r="J1" i="30" s="1"/>
  <c r="F14" i="30"/>
  <c r="G14" i="30"/>
  <c r="G74" i="30"/>
  <c r="F157" i="30"/>
  <c r="G157" i="30"/>
  <c r="F12" i="30"/>
  <c r="G12" i="30"/>
  <c r="F15" i="30"/>
  <c r="G15" i="30"/>
  <c r="F17" i="30"/>
  <c r="G17" i="30"/>
  <c r="F18" i="30"/>
  <c r="G18" i="30"/>
  <c r="F20" i="30"/>
  <c r="G20" i="30"/>
  <c r="F21" i="30"/>
  <c r="G21" i="30"/>
  <c r="F22" i="30"/>
  <c r="G22" i="30"/>
  <c r="F24" i="30"/>
  <c r="G24" i="30"/>
  <c r="F25" i="30"/>
  <c r="G25" i="30"/>
  <c r="F27" i="30"/>
  <c r="G27" i="30"/>
  <c r="F218" i="28"/>
  <c r="F217" i="28"/>
  <c r="F216" i="28"/>
  <c r="F215" i="28"/>
  <c r="F211" i="28"/>
  <c r="F210" i="28"/>
  <c r="F209" i="28"/>
  <c r="F208" i="28"/>
  <c r="F206" i="28"/>
  <c r="F205" i="28"/>
  <c r="F204" i="28"/>
  <c r="F203" i="28"/>
  <c r="F202" i="28"/>
  <c r="F201" i="28"/>
  <c r="F200" i="28"/>
  <c r="F197" i="28"/>
  <c r="F196" i="28"/>
  <c r="F178" i="28"/>
  <c r="F177" i="28"/>
  <c r="F176" i="28"/>
  <c r="F175" i="28"/>
  <c r="F173" i="28"/>
  <c r="F172" i="28"/>
  <c r="F170" i="28"/>
  <c r="F169" i="28"/>
  <c r="F167" i="28"/>
  <c r="F166" i="28"/>
  <c r="F165" i="28"/>
  <c r="F164" i="28"/>
  <c r="F162" i="28"/>
  <c r="F161" i="28"/>
  <c r="F160" i="28"/>
  <c r="F159" i="28"/>
  <c r="F152" i="28"/>
  <c r="F151" i="28"/>
  <c r="F150" i="28"/>
  <c r="F149" i="28"/>
  <c r="F147" i="28"/>
  <c r="F146" i="28"/>
  <c r="F145" i="28"/>
  <c r="F143" i="28"/>
  <c r="F142" i="28"/>
  <c r="F141" i="28"/>
  <c r="F140" i="28"/>
  <c r="F136" i="28"/>
  <c r="F137" i="28" s="1"/>
  <c r="F138" i="28" s="1"/>
  <c r="F134" i="28"/>
  <c r="F133" i="28"/>
  <c r="F132" i="28"/>
  <c r="F131" i="28"/>
  <c r="F130" i="28"/>
  <c r="F126" i="28"/>
  <c r="F125" i="28"/>
  <c r="F124" i="28"/>
  <c r="F123" i="28"/>
  <c r="F122" i="28"/>
  <c r="F119" i="28"/>
  <c r="F118" i="28"/>
  <c r="F117" i="28"/>
  <c r="F116" i="28"/>
  <c r="F115" i="28"/>
  <c r="F112" i="28"/>
  <c r="F111" i="28"/>
  <c r="F110" i="28"/>
  <c r="F103" i="28"/>
  <c r="F102" i="28"/>
  <c r="F101" i="28"/>
  <c r="F95" i="28"/>
  <c r="F94" i="28"/>
  <c r="F93" i="28"/>
  <c r="F92" i="28"/>
  <c r="F88" i="28"/>
  <c r="F87" i="28"/>
  <c r="F86" i="28"/>
  <c r="F85" i="28"/>
  <c r="F83" i="28"/>
  <c r="F82" i="28"/>
  <c r="F81" i="28"/>
  <c r="F80" i="28"/>
  <c r="F79" i="28"/>
  <c r="F77" i="28"/>
  <c r="F76" i="28"/>
  <c r="F75" i="28"/>
  <c r="F74" i="28"/>
  <c r="F73" i="28"/>
  <c r="F71" i="28"/>
  <c r="F70" i="28"/>
  <c r="F69" i="28"/>
  <c r="F68" i="28"/>
  <c r="F66" i="28"/>
  <c r="F65" i="28"/>
  <c r="F64" i="28"/>
  <c r="F59" i="28"/>
  <c r="F60" i="28" s="1"/>
  <c r="F61" i="28" s="1"/>
  <c r="F62" i="28" s="1"/>
  <c r="F52" i="28"/>
  <c r="F53" i="28" s="1"/>
  <c r="F54" i="28" s="1"/>
  <c r="F55" i="28" s="1"/>
  <c r="F56" i="28" s="1"/>
  <c r="F57" i="28" s="1"/>
  <c r="F50" i="28"/>
  <c r="F49" i="28"/>
  <c r="F48" i="28"/>
  <c r="F47" i="28"/>
  <c r="F46" i="28"/>
  <c r="F44" i="28"/>
  <c r="F43" i="28"/>
  <c r="F42" i="28"/>
  <c r="F41" i="28"/>
  <c r="F39" i="28"/>
  <c r="F38" i="28"/>
  <c r="F37" i="28"/>
  <c r="F35" i="28"/>
  <c r="F34" i="28"/>
  <c r="F33" i="28"/>
  <c r="F32" i="28"/>
  <c r="E1" i="28"/>
  <c r="L2" i="27"/>
  <c r="L1" i="27"/>
  <c r="H27" i="27"/>
  <c r="I57" i="27"/>
  <c r="H57" i="27"/>
  <c r="G71" i="30"/>
  <c r="F72" i="30"/>
  <c r="G72" i="30"/>
  <c r="I27" i="27"/>
  <c r="I19" i="27"/>
  <c r="H19" i="27"/>
  <c r="G86" i="30"/>
  <c r="F86" i="30"/>
  <c r="H31" i="27"/>
  <c r="G116" i="30"/>
  <c r="F116" i="30"/>
  <c r="G164" i="30"/>
  <c r="G166" i="30"/>
  <c r="G165" i="30"/>
  <c r="F166" i="30"/>
  <c r="F165" i="30"/>
  <c r="F164" i="30"/>
  <c r="F37" i="29"/>
  <c r="F8" i="29"/>
  <c r="F183" i="28" l="1"/>
  <c r="F182" i="28"/>
  <c r="F181" i="28"/>
  <c r="F180" i="28"/>
  <c r="F189" i="28"/>
  <c r="F187" i="28"/>
  <c r="F188" i="28"/>
  <c r="F186" i="28"/>
  <c r="F185" i="28"/>
  <c r="I78" i="27"/>
  <c r="H78" i="27"/>
  <c r="I74" i="27"/>
  <c r="H74" i="27"/>
  <c r="I72" i="27"/>
  <c r="H72" i="27"/>
  <c r="I70" i="27"/>
  <c r="H70" i="27"/>
  <c r="I53" i="27" l="1"/>
  <c r="H53" i="27"/>
  <c r="I23" i="27" l="1"/>
  <c r="H23" i="27"/>
  <c r="I34" i="27" l="1"/>
  <c r="H34" i="27"/>
  <c r="I15" i="27" l="1"/>
  <c r="H15" i="27"/>
  <c r="G134" i="30"/>
  <c r="G135" i="30"/>
  <c r="G136" i="30"/>
  <c r="G133" i="30"/>
  <c r="F134" i="30"/>
  <c r="F135" i="30"/>
  <c r="F136" i="30"/>
  <c r="F133" i="30"/>
  <c r="G216" i="30"/>
  <c r="F216" i="30"/>
  <c r="G218" i="30"/>
  <c r="G215" i="30"/>
  <c r="G217" i="30"/>
  <c r="G214" i="30"/>
  <c r="F218" i="30"/>
  <c r="F215" i="30"/>
  <c r="F217" i="30"/>
  <c r="F214" i="30"/>
  <c r="G209" i="30"/>
  <c r="G210" i="30"/>
  <c r="F210" i="30"/>
  <c r="F208" i="30"/>
  <c r="G198" i="30"/>
  <c r="G199" i="30"/>
  <c r="F198" i="30"/>
  <c r="F199" i="30"/>
  <c r="F141" i="30"/>
  <c r="G140" i="30"/>
  <c r="F140" i="30"/>
  <c r="F82" i="30"/>
  <c r="F80" i="30"/>
  <c r="F81" i="30"/>
  <c r="F79" i="30"/>
  <c r="G62" i="30"/>
  <c r="G63" i="30"/>
  <c r="F62" i="30"/>
  <c r="F63" i="30"/>
  <c r="H46" i="27"/>
  <c r="H60" i="27"/>
  <c r="F28" i="30"/>
  <c r="F29" i="30"/>
  <c r="F30" i="30"/>
  <c r="G194" i="30"/>
  <c r="G195" i="30"/>
  <c r="G193" i="30"/>
  <c r="G192" i="30"/>
  <c r="F194" i="30"/>
  <c r="F195" i="30"/>
  <c r="F193" i="30"/>
  <c r="F192" i="30"/>
  <c r="G55" i="30"/>
  <c r="F55" i="30"/>
  <c r="G51" i="30"/>
  <c r="F51" i="30"/>
  <c r="H8" i="27" l="1"/>
  <c r="I8" i="27"/>
  <c r="G43" i="30"/>
  <c r="G42" i="30"/>
  <c r="G41" i="30"/>
  <c r="F43" i="30"/>
  <c r="F42" i="30"/>
  <c r="F41" i="30"/>
  <c r="I17" i="27"/>
  <c r="H17" i="27"/>
  <c r="F1" i="29" l="1"/>
  <c r="I1" i="29" s="1"/>
  <c r="I2" i="29" l="1"/>
  <c r="I38" i="27"/>
  <c r="H38" i="27"/>
  <c r="I60" i="27"/>
  <c r="G127" i="30"/>
  <c r="G126" i="30"/>
  <c r="F127" i="30"/>
  <c r="F126" i="30"/>
  <c r="G120" i="30"/>
  <c r="G119" i="30"/>
  <c r="G112" i="30" l="1"/>
  <c r="G111" i="30"/>
  <c r="F112" i="30"/>
  <c r="F111" i="30"/>
  <c r="G109" i="30"/>
  <c r="F109" i="30"/>
  <c r="G107" i="30"/>
  <c r="F107" i="30"/>
  <c r="G99" i="30"/>
  <c r="F99" i="30"/>
  <c r="G100" i="30"/>
  <c r="G101" i="30"/>
  <c r="F100" i="30"/>
  <c r="F101" i="30"/>
  <c r="G94" i="30"/>
  <c r="G95" i="30"/>
  <c r="F94" i="30"/>
  <c r="F95" i="30"/>
  <c r="F89" i="30"/>
  <c r="F90" i="30"/>
  <c r="F91" i="30"/>
  <c r="G67" i="30"/>
  <c r="F67" i="30"/>
  <c r="G138" i="30" l="1"/>
  <c r="F138" i="30"/>
  <c r="F108" i="30"/>
  <c r="F114" i="30"/>
  <c r="F117" i="30"/>
  <c r="F130" i="30"/>
  <c r="F131" i="30"/>
  <c r="F209" i="30" l="1"/>
  <c r="G208" i="30"/>
  <c r="I46" i="27" l="1"/>
  <c r="G183" i="30"/>
  <c r="F183" i="30"/>
  <c r="G184" i="30"/>
  <c r="F184" i="30"/>
  <c r="G181" i="30"/>
  <c r="G180" i="30"/>
  <c r="F181" i="30"/>
  <c r="F180" i="30"/>
  <c r="G162" i="30"/>
  <c r="F162" i="30"/>
  <c r="G160" i="30"/>
  <c r="G159" i="30"/>
  <c r="F160" i="30"/>
  <c r="F159" i="30"/>
  <c r="G154" i="30"/>
  <c r="G155" i="30"/>
  <c r="F154" i="30"/>
  <c r="F155" i="30"/>
  <c r="G144" i="30"/>
  <c r="G145" i="30"/>
  <c r="G143" i="30"/>
  <c r="F144" i="30"/>
  <c r="F145" i="30"/>
  <c r="F143" i="30"/>
  <c r="G66" i="30"/>
  <c r="G28" i="30"/>
  <c r="G29" i="30"/>
  <c r="G30" i="30"/>
  <c r="F38" i="30"/>
  <c r="G38" i="30"/>
  <c r="F39" i="30"/>
  <c r="G39" i="30"/>
  <c r="F98" i="30"/>
  <c r="F103" i="30"/>
  <c r="F104" i="30"/>
  <c r="F105" i="30"/>
  <c r="G190" i="30"/>
  <c r="F190" i="30"/>
  <c r="G189" i="30"/>
  <c r="F189" i="30"/>
  <c r="G187" i="30"/>
  <c r="F187" i="30"/>
  <c r="G186" i="30"/>
  <c r="F186" i="30"/>
  <c r="G178" i="30"/>
  <c r="F178" i="30"/>
  <c r="G177" i="30"/>
  <c r="F177" i="30"/>
  <c r="G175" i="30"/>
  <c r="F175" i="30"/>
  <c r="G174" i="30"/>
  <c r="F174" i="30"/>
  <c r="G172" i="30"/>
  <c r="F172" i="30"/>
  <c r="G171" i="30"/>
  <c r="F171" i="30"/>
  <c r="G170" i="30"/>
  <c r="F170" i="30"/>
  <c r="G169" i="30"/>
  <c r="F169" i="30"/>
  <c r="G168" i="30"/>
  <c r="F168" i="30"/>
  <c r="G153" i="30"/>
  <c r="F153" i="30"/>
  <c r="G151" i="30"/>
  <c r="G141" i="30"/>
  <c r="G131" i="30"/>
  <c r="G130" i="30"/>
  <c r="G117" i="30"/>
  <c r="G114" i="30"/>
  <c r="G108" i="30"/>
  <c r="G105" i="30"/>
  <c r="G104" i="30"/>
  <c r="G103" i="30"/>
  <c r="G98" i="30"/>
  <c r="G96" i="30"/>
  <c r="F96" i="30"/>
  <c r="G93" i="30"/>
  <c r="F93" i="30"/>
  <c r="G91" i="30"/>
  <c r="G90" i="30"/>
  <c r="G89" i="30"/>
  <c r="G87" i="30"/>
  <c r="F87" i="30"/>
  <c r="G85" i="30"/>
  <c r="F85" i="30"/>
  <c r="G77" i="30"/>
  <c r="F77" i="30"/>
  <c r="F1" i="19" l="1"/>
  <c r="J1" i="19" s="1"/>
  <c r="G1" i="23"/>
  <c r="K1" i="23" s="1"/>
  <c r="J2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</authors>
  <commentList>
    <comment ref="H25" authorId="0" shapeId="0" xr:uid="{4F57FBB1-DF2D-48F3-8820-7F73BD3C9756}">
      <text>
        <r>
          <rPr>
            <sz val="50"/>
            <color indexed="81"/>
            <rFont val="Tahoma"/>
            <family val="2"/>
          </rPr>
          <t xml:space="preserve">Tu, Richard:
</t>
        </r>
        <r>
          <rPr>
            <b/>
            <sz val="50"/>
            <color indexed="81"/>
            <rFont val="Tahoma"/>
            <family val="2"/>
          </rPr>
          <t>DO NOT CHANGE THE NUMBER!!
IS 0.296 !!!
ONLY PRINT LABEL!!</t>
        </r>
      </text>
    </comment>
  </commentList>
</comments>
</file>

<file path=xl/sharedStrings.xml><?xml version="1.0" encoding="utf-8"?>
<sst xmlns="http://schemas.openxmlformats.org/spreadsheetml/2006/main" count="3422" uniqueCount="872">
  <si>
    <t>Flight</t>
  </si>
  <si>
    <t>SACS</t>
  </si>
  <si>
    <t>ITEMS</t>
  </si>
  <si>
    <t>BA</t>
  </si>
  <si>
    <t>CX</t>
  </si>
  <si>
    <t>SB</t>
  </si>
  <si>
    <t>B1</t>
  </si>
  <si>
    <t>B5</t>
  </si>
  <si>
    <t>C4</t>
  </si>
  <si>
    <t>C6</t>
  </si>
  <si>
    <t>F1</t>
  </si>
  <si>
    <t>B3</t>
  </si>
  <si>
    <t>E1</t>
  </si>
  <si>
    <t>KG</t>
  </si>
  <si>
    <t>PC</t>
  </si>
  <si>
    <t>SIGN NAME</t>
  </si>
  <si>
    <t>EY-delivery day:</t>
  </si>
  <si>
    <t>BC-delivery day:</t>
  </si>
  <si>
    <t>Live QTY</t>
  </si>
  <si>
    <t>B VG CUCUMBER TEL SLC 10G 3-4MM EA</t>
  </si>
  <si>
    <t>Production day:</t>
  </si>
  <si>
    <t>B HB CORIANDER CHOP</t>
  </si>
  <si>
    <t>R EGG MAYO W CHOPPED EGG</t>
  </si>
  <si>
    <t>5J40</t>
  </si>
  <si>
    <t>Max QTY</t>
  </si>
  <si>
    <t>R SW WRAP GRILLED CHICKEN</t>
  </si>
  <si>
    <t>DISH</t>
  </si>
  <si>
    <t>CA</t>
  </si>
  <si>
    <t>WC</t>
  </si>
  <si>
    <t>UNIT</t>
  </si>
  <si>
    <t>UT</t>
  </si>
  <si>
    <t>A7</t>
  </si>
  <si>
    <t>KE</t>
  </si>
  <si>
    <t>F2</t>
  </si>
  <si>
    <t>A2</t>
  </si>
  <si>
    <t>F4</t>
  </si>
  <si>
    <t>AC</t>
  </si>
  <si>
    <t>AI</t>
  </si>
  <si>
    <t>AI Y RICE KHEER INDIAN DESSERT ALL</t>
  </si>
  <si>
    <t>F5</t>
  </si>
  <si>
    <t>AI C CUCUMBER RAITA ALL</t>
  </si>
  <si>
    <t>DL</t>
  </si>
  <si>
    <t>HA</t>
  </si>
  <si>
    <t>B7</t>
  </si>
  <si>
    <t>SPML SALAD GARDEN</t>
  </si>
  <si>
    <t>JL</t>
  </si>
  <si>
    <t>OZ</t>
  </si>
  <si>
    <t>UA</t>
  </si>
  <si>
    <t>VN</t>
  </si>
  <si>
    <t>AA</t>
  </si>
  <si>
    <t>MF</t>
  </si>
  <si>
    <t>B2</t>
  </si>
  <si>
    <t>C1</t>
  </si>
  <si>
    <t>B VG TOMATO SLICED FOR SW</t>
  </si>
  <si>
    <t>R SW HAM LETTUCE CHEESE MUSTARD SB</t>
  </si>
  <si>
    <t>EVERY1-15</t>
  </si>
  <si>
    <t>A5</t>
  </si>
  <si>
    <t>LA</t>
  </si>
  <si>
    <t>B VG CUCUMBER LEB SLC 3MM</t>
  </si>
  <si>
    <t>UA C SOBA TERIYAKI NOODLE SALAD</t>
  </si>
  <si>
    <t>EVERY 16-End</t>
  </si>
  <si>
    <t>R CROISSANT HAM AND CHEESE</t>
  </si>
  <si>
    <t>SPML</t>
  </si>
  <si>
    <t>R SW RL CHEE CUC WP</t>
  </si>
  <si>
    <t>R CHICKEN SOUR CREAM MIX FOR SW</t>
  </si>
  <si>
    <t>TUNA MIX GOURMET FOR SW</t>
  </si>
  <si>
    <t>R SW ROLL HAM LETT CHEE</t>
  </si>
  <si>
    <t>SW-delivery day:</t>
  </si>
  <si>
    <t>Actual</t>
  </si>
  <si>
    <t>3A0003A134</t>
  </si>
  <si>
    <t>R DRESS MAYO SIRACHA</t>
  </si>
  <si>
    <t>R SW RL CHICK MAYO LETT CUC</t>
  </si>
  <si>
    <t>LABEL</t>
  </si>
  <si>
    <t>B VG CUCUMBER LEB HLF SLC 5MM</t>
  </si>
  <si>
    <t>Dairy Based (Expired +2Days)</t>
  </si>
  <si>
    <t>Oil/Vinegar Based (Expired +7days)</t>
  </si>
  <si>
    <t>Name</t>
  </si>
  <si>
    <t>AA C SALAMI GOUDA ROLL</t>
  </si>
  <si>
    <t>AA FC WARM SANDWICH GARNISH</t>
  </si>
  <si>
    <t>AA FC MEDITERRANEAN MEZZE</t>
  </si>
  <si>
    <t>B8</t>
  </si>
  <si>
    <t>UA C MESCULAN WITH SEMI DRIED TOMATO AND ARTICHOKE</t>
  </si>
  <si>
    <t>UA W MESCULAN WITH SEMI DRIED AND ARTICHOKE</t>
  </si>
  <si>
    <t>UA CREW MESCULAN SEMI DRIED TOMATO AND ARTICHOKE</t>
  </si>
  <si>
    <t>EA</t>
  </si>
  <si>
    <t>AA C CHICK PESTO ROLL</t>
  </si>
  <si>
    <t>Weight</t>
  </si>
  <si>
    <t>B SALAMI HUNGARIAN SLC KG</t>
  </si>
  <si>
    <t>B CHEE CHEDDAR SLC MLAND 1/2 CUT</t>
  </si>
  <si>
    <t>B RELISH ONION CARAMELIZED</t>
  </si>
  <si>
    <t>B VG TOMATO JULIENNE 1CM</t>
  </si>
  <si>
    <t>B VG CUCUMBER TEL 1CM ANGLE CUT SDLESS SON</t>
  </si>
  <si>
    <t>5J Y DELUXE EGG SW</t>
  </si>
  <si>
    <t>R SWTUNA GOURMET SB PACK</t>
  </si>
  <si>
    <t>B HAM DELUXE SHVD</t>
  </si>
  <si>
    <t>B CHEE CHEDDAR SLC MLAND KG</t>
  </si>
  <si>
    <t>R SW CHICK RST &amp; BASIL PESTO WDG PACK</t>
  </si>
  <si>
    <t>R SW EGG MAYO CHEE WDG PACK</t>
  </si>
  <si>
    <t>B CHEE CHEDDAR SLC MLAND EA</t>
  </si>
  <si>
    <t>R CHICK MAYO SANDWICH FILLING</t>
  </si>
  <si>
    <t>B VG CAPSICUM RED MRND GRL BI</t>
  </si>
  <si>
    <t>B TOMATO RELISH</t>
  </si>
  <si>
    <t>B HAM VIRGINIA SLC</t>
  </si>
  <si>
    <t>R SW WRAP CHICK SRIRACHA</t>
  </si>
  <si>
    <t>B CHICK BRST CGRL 20G</t>
  </si>
  <si>
    <t>B SALAD COLESLAW DRY BI</t>
  </si>
  <si>
    <t>B MUSTARD DIJON</t>
  </si>
  <si>
    <t>B BEEF PASTRAMI SLC BI</t>
  </si>
  <si>
    <t>B PCKLD SWEET MUSTARD</t>
  </si>
  <si>
    <t>R VG ZUCCHINI GRN STRIP GRL</t>
  </si>
  <si>
    <t>R VG EGGPLANT LGE SLC GRL</t>
  </si>
  <si>
    <t>R VG CAPSICUM RED JULIENNE SAUTE</t>
  </si>
  <si>
    <t>B PASTE TAHINI</t>
  </si>
  <si>
    <t>B HAM DELUXE SLC 10G</t>
  </si>
  <si>
    <t>B VG EGGPLANT MRND GRL BI</t>
  </si>
  <si>
    <t>AA C ANTIPASTI BOWL</t>
  </si>
  <si>
    <t>AA C SOUTH WEST SALAD</t>
  </si>
  <si>
    <t>AA C MEDITERRANEAN MEZZE</t>
  </si>
  <si>
    <t>AA FC GRANOLA</t>
  </si>
  <si>
    <t>AA W GRANOLA</t>
  </si>
  <si>
    <t>AA Y GRANOLA</t>
  </si>
  <si>
    <t>AA 1 GRANOLA</t>
  </si>
  <si>
    <t>AA C GRANOLA</t>
  </si>
  <si>
    <t>JL C SALAD EXTRA BULK TRAY</t>
  </si>
  <si>
    <t>B VG TOMATO SUNDRY 1/2 CUT</t>
  </si>
  <si>
    <t>R SCE TOM BASIL</t>
  </si>
  <si>
    <t>B CHEE MOZZARELLA SHRD BI</t>
  </si>
  <si>
    <t>L</t>
  </si>
  <si>
    <t>MUSHROOM AND SUNDRIED TOMATO PIZZA</t>
  </si>
  <si>
    <t xml:space="preserve">HAM AND CHEESE TURKISH </t>
  </si>
  <si>
    <t>HX</t>
  </si>
  <si>
    <t>QTY</t>
  </si>
  <si>
    <t>KIMCHI</t>
  </si>
  <si>
    <t>Yellow radish</t>
  </si>
  <si>
    <t>B PCKLD RADISH YLW SLC</t>
  </si>
  <si>
    <t>A1</t>
  </si>
  <si>
    <t>CHICKEN CHICK BRST SMK 20G</t>
  </si>
  <si>
    <t>AC C GREEN SALAD WITH TOMATO &amp; ARTICHOKE</t>
  </si>
  <si>
    <t>AC W GREEN SALAD WITH TOMATO &amp; ARTICHOKE</t>
  </si>
  <si>
    <t>AC CAPT GREEN SALAD W TOMATO &amp; ARTICHOKE</t>
  </si>
  <si>
    <t>AC TC GREEN SALAD W TOMATO &amp; ARTICHOKE</t>
  </si>
  <si>
    <t>AC AI CX</t>
  </si>
  <si>
    <t>EY</t>
  </si>
  <si>
    <t>3500035086 </t>
  </si>
  <si>
    <t>*SEED CHIA HONEY MIXED(TC)</t>
  </si>
  <si>
    <t>MF C SOUP GARNISH CHIVE</t>
  </si>
  <si>
    <t>MF C BLACK SESAME ROAST</t>
  </si>
  <si>
    <t>MF C SOUP GARNISH CROUTON</t>
  </si>
  <si>
    <t>UA C SMOKED PULLED BEEF PATATAS BRAVAS</t>
  </si>
  <si>
    <t>BA 1 GARDEN SALAD</t>
  </si>
  <si>
    <t>3A0003A316</t>
  </si>
  <si>
    <t>UA Y MIXED GREENS WITH TOMATO AND CUCUMBER (EY)</t>
  </si>
  <si>
    <t>B CHICK BRST CGRL 10G</t>
  </si>
  <si>
    <t>AA 1 WARM SANDWICH GARNISH</t>
  </si>
  <si>
    <t>DL MIXED GREENS SALAD</t>
  </si>
  <si>
    <t>JL BC SALAD INDV</t>
  </si>
  <si>
    <t>OZ 1 MEXICAN BEAN SALAD</t>
  </si>
  <si>
    <t>VN C SOUP GARNISH</t>
  </si>
  <si>
    <t>3A0003A344</t>
  </si>
  <si>
    <t>AC/AI/CX</t>
  </si>
  <si>
    <t>B HB MINT SANITISED</t>
  </si>
  <si>
    <t>B FRT PINEAPPLE WDG 30G IH</t>
  </si>
  <si>
    <t>B MLN WATER WDG 30G</t>
  </si>
  <si>
    <t>B MLN HONEYDEW WDG 30G</t>
  </si>
  <si>
    <t>B PASSIONFRUIT HLF CUT</t>
  </si>
  <si>
    <t>B MLN WATER SLC 20G</t>
  </si>
  <si>
    <t>B FRT MELON HDEW SLC 20G</t>
  </si>
  <si>
    <t>B MLN HONEYDEW WDG 35G</t>
  </si>
  <si>
    <t>B FRT KIWI PLD WDG QTR</t>
  </si>
  <si>
    <t>B FRT PINEAPPLE SLC 30G</t>
  </si>
  <si>
    <t>B MLN ROCK SLC 35G IH</t>
  </si>
  <si>
    <t>B FRT MLN ROCK SLC 20G</t>
  </si>
  <si>
    <t>B FRT ORANGE SLC 10G IH</t>
  </si>
  <si>
    <t>B FRT STRAWBERRY STEM ON EA</t>
  </si>
  <si>
    <t>B FRT GRAPE RED SLESS 20G</t>
  </si>
  <si>
    <t>B MLN HONEYDEW SLC 20G IH</t>
  </si>
  <si>
    <t>B FRT PINEAPPLE SLC 15G</t>
  </si>
  <si>
    <t>B FRT STRAWBERRY HLF CUT SON EA</t>
  </si>
  <si>
    <t>B MLN WATER SLC 15G</t>
  </si>
  <si>
    <t>B MLN HONEYDEW SLC 30G</t>
  </si>
  <si>
    <t>B MLN ROCK SLC 30G</t>
  </si>
  <si>
    <t>B FRT PINEAPPLE SLC 20G</t>
  </si>
  <si>
    <t>B FRT PAWPAW SLC 20G</t>
  </si>
  <si>
    <t>B FRT ORANGE SLC 30G</t>
  </si>
  <si>
    <t>B FRT APPLE RED WDGE SON 30G</t>
  </si>
  <si>
    <t>B FRT KIWI PLD SLC 30G</t>
  </si>
  <si>
    <t>2H00000017</t>
  </si>
  <si>
    <t>B HALAL MELON WATER WEDGE 30G</t>
  </si>
  <si>
    <t>2H00000018</t>
  </si>
  <si>
    <t>B HALAL PINEAPPLE WDG 30G IH</t>
  </si>
  <si>
    <t>2H00000158</t>
  </si>
  <si>
    <t>B HALAL FRT STRAWBERRY HLF CUT SON EA</t>
  </si>
  <si>
    <t>2H00000019</t>
  </si>
  <si>
    <t>B HALAL KIWI PLD WDG QTR</t>
  </si>
  <si>
    <t>HA FC FRUIT PLATE 2024</t>
  </si>
  <si>
    <t>HA 1 FRUIT PLATE</t>
  </si>
  <si>
    <t>B ROCK MELON SLICE LONG 35 G</t>
  </si>
  <si>
    <t>B MELON WATER TRI SLC 30G</t>
  </si>
  <si>
    <t>HX C FRUIT PLATE BOWL</t>
  </si>
  <si>
    <t>HX CAPT FRUIT BOWL REF</t>
  </si>
  <si>
    <t>HX TC FRUIT BOWL TECH CREW</t>
  </si>
  <si>
    <t>B FRT ORANGE SLC 20G</t>
  </si>
  <si>
    <t>B FRT KIWI HLF CUT SON</t>
  </si>
  <si>
    <t>B FRT GRAPE RED SLESS 30G</t>
  </si>
  <si>
    <t>B MLN HONEYDEW SLC 10G IH</t>
  </si>
  <si>
    <t>B FRT GRAPE RED SEEDLESS IH W&amp;S</t>
  </si>
  <si>
    <t>MF C FRUIT PLATE</t>
  </si>
  <si>
    <t>B FRT PINEAPPLE WDG 25G</t>
  </si>
  <si>
    <t>B MLN WATER SLC 30G</t>
  </si>
  <si>
    <t>B FRT KIWI PLD SLC 15G</t>
  </si>
  <si>
    <t>MF TC FRUIT PLATE</t>
  </si>
  <si>
    <t>B FRT PINEAPPLE SLC 25G</t>
  </si>
  <si>
    <t>MF CC FRUIT PLATE</t>
  </si>
  <si>
    <t>B MLN WATER WDG 20G</t>
  </si>
  <si>
    <t>OZ C DESSERT FRUIT 2015</t>
  </si>
  <si>
    <t>B MLN HONEYDEW SLC 25G</t>
  </si>
  <si>
    <t>OZ C FRUIT BOWL SNACK</t>
  </si>
  <si>
    <t>B MLN ROCK WDG 30G</t>
  </si>
  <si>
    <t>B FRT STRAWBERRY STON EA</t>
  </si>
  <si>
    <t>SB CAPT FRUIT SEASONAL</t>
  </si>
  <si>
    <t>B MLN HONEYDEW WDG 20G</t>
  </si>
  <si>
    <t>B FRT STRAWBERRY IHW&amp;S</t>
  </si>
  <si>
    <t>B FRT BANANA LEAF BASE 6X8</t>
  </si>
  <si>
    <t>3A0003A184</t>
  </si>
  <si>
    <t>B4</t>
  </si>
  <si>
    <t>Dish</t>
  </si>
  <si>
    <t>Actual QTY</t>
  </si>
  <si>
    <t>F3</t>
  </si>
  <si>
    <t>SPML
AM</t>
  </si>
  <si>
    <t>SPML
PM</t>
  </si>
  <si>
    <t>+1</t>
  </si>
  <si>
    <t>+2</t>
  </si>
  <si>
    <t>3E0003E161</t>
  </si>
  <si>
    <r>
      <t>KE C KIM CHI ROLL PORTION</t>
    </r>
    <r>
      <rPr>
        <b/>
        <sz val="30"/>
        <color rgb="FFFF0000"/>
        <rFont val="等线"/>
        <family val="2"/>
        <scheme val="minor"/>
      </rPr>
      <t xml:space="preserve"> 40G</t>
    </r>
  </si>
  <si>
    <r>
      <t xml:space="preserve">KE C PICKLED CUCUMBER AND KIMCHI </t>
    </r>
    <r>
      <rPr>
        <b/>
        <sz val="30"/>
        <color rgb="FFFF0000"/>
        <rFont val="等线"/>
        <family val="2"/>
        <scheme val="minor"/>
      </rPr>
      <t>30G</t>
    </r>
  </si>
  <si>
    <r>
      <t xml:space="preserve">OZ C KIM CHI ROLL PORTION </t>
    </r>
    <r>
      <rPr>
        <b/>
        <sz val="30"/>
        <color rgb="FFFF0000"/>
        <rFont val="等线"/>
        <family val="2"/>
        <scheme val="minor"/>
      </rPr>
      <t>40G</t>
    </r>
  </si>
  <si>
    <r>
      <t xml:space="preserve">R KIMCHI KRN </t>
    </r>
    <r>
      <rPr>
        <b/>
        <sz val="30"/>
        <color rgb="FFFF0000"/>
        <rFont val="等线"/>
        <family val="2"/>
        <scheme val="minor"/>
      </rPr>
      <t>40G</t>
    </r>
    <r>
      <rPr>
        <sz val="30"/>
        <color theme="1"/>
        <rFont val="等线"/>
        <family val="2"/>
        <scheme val="minor"/>
      </rPr>
      <t xml:space="preserve"> IN CUP</t>
    </r>
  </si>
  <si>
    <t>AC C SEASONAL FRUIT BOWL (BC,TC)</t>
  </si>
  <si>
    <t>AC C FRUIT BOWL BF (BC,TC)</t>
  </si>
  <si>
    <t>3D0003D586</t>
  </si>
  <si>
    <t>B FRT KIWI PLD DCE 1CM</t>
  </si>
  <si>
    <t>B FRT MANGO DCE 1CM</t>
  </si>
  <si>
    <t>B FRT GRAPE RED HLF CUT</t>
  </si>
  <si>
    <t>R FRT MIX DCE 1CM IH (BC)</t>
  </si>
  <si>
    <t>BA FC SEASONAL FRESH FRUITS (FC)</t>
  </si>
  <si>
    <t>TRAY</t>
  </si>
  <si>
    <t>JL C FRUIT BOWL (BC)</t>
  </si>
  <si>
    <t>JL BC MM FRUIT TRAY (BC)</t>
  </si>
  <si>
    <t>WATERMELON SLC</t>
  </si>
  <si>
    <t>HONEYDEW SLC</t>
  </si>
  <si>
    <t>ROCKMELON SLC</t>
  </si>
  <si>
    <t>PINEAPPLE SLC</t>
  </si>
  <si>
    <t>WHOLE ORANGE</t>
  </si>
  <si>
    <t xml:space="preserve"> PER FLIGHT</t>
  </si>
  <si>
    <t>AA FC BREAKFAST FRUIT (FC)</t>
  </si>
  <si>
    <t>AA C BREAKFAST FRUIT (BC)</t>
  </si>
  <si>
    <t>AA W FRUIT PLATE (PEY)</t>
  </si>
  <si>
    <t>AA FC FRUIT W GRANOLA (FC)</t>
  </si>
  <si>
    <t>AA C FRUIT W GRANOLA (BC)</t>
  </si>
  <si>
    <t>BA BC CHUTNEY</t>
  </si>
  <si>
    <t>B6</t>
  </si>
  <si>
    <t>CHECK FLIGHT SCHELDUE</t>
  </si>
  <si>
    <t>A3</t>
  </si>
  <si>
    <t>LABELS</t>
  </si>
  <si>
    <t>DL C BREAKFAST FRUIT (BC)</t>
  </si>
  <si>
    <t>DL W BREAKFAST FRUIT (PEY)</t>
  </si>
  <si>
    <t>DL 2 BREAKFAST FRUIT (CC)</t>
  </si>
  <si>
    <t>AI 2 FRONT CUCUMBER RAITA ALL</t>
  </si>
  <si>
    <t>Production Day:</t>
  </si>
  <si>
    <t>CAPSICUM RST RED YEL W.THYME</t>
  </si>
  <si>
    <t>BEAN EDAMAME BLCH</t>
  </si>
  <si>
    <t>B FRT MANGO SLC 30G</t>
  </si>
  <si>
    <t>CX 1 SLICED FRUIT</t>
  </si>
  <si>
    <t>*CX 1 BIRCHER CHIA SEED</t>
  </si>
  <si>
    <t>7800078630 </t>
  </si>
  <si>
    <t>R BEEF FLT SEARED CUT INTO 4 PCS</t>
  </si>
  <si>
    <t>AA FC PHILLY STEAK SW</t>
  </si>
  <si>
    <t>AA C PHILLY STEAK SW</t>
  </si>
  <si>
    <t>ONION SLC SAUTE PSLEY</t>
  </si>
  <si>
    <t>B VG EGGPLANT MRND GRL CUT</t>
  </si>
  <si>
    <t>*TUNA MIX W MAYO</t>
  </si>
  <si>
    <t>BA BC SEASONAL FRESH FRUITS</t>
  </si>
  <si>
    <t>B FRT PINEAPPLE DICE 2CM IH</t>
  </si>
  <si>
    <t>B FRT STRAWBERRY QTR CUT STEMOFF</t>
  </si>
  <si>
    <t>OZ C FRUIT TRAY R3 NEW</t>
  </si>
  <si>
    <t>3A0003A421</t>
  </si>
  <si>
    <t xml:space="preserve">AA </t>
  </si>
  <si>
    <t>R DRESS CHARDONNAY SC (FC,BC,CC)</t>
  </si>
  <si>
    <t>R PESTO BASIL MM (FC)</t>
  </si>
  <si>
    <t>AA C SUMMER / WINTER SALAD</t>
  </si>
  <si>
    <t>AA C WHITE PEPPER DRESSING</t>
  </si>
  <si>
    <t>AA FC SEARED SCALLOP MANGO MELON SALSA</t>
  </si>
  <si>
    <t>AA FC CAULIFLOWER PANACOTTA</t>
  </si>
  <si>
    <t>AA FC CREAMY ZUCCHINI SOUP</t>
  </si>
  <si>
    <t>AA FC CHICKEN SALTIMBOCA</t>
  </si>
  <si>
    <t>AA 1 CHICK SALTIMBOCCA</t>
  </si>
  <si>
    <t>AI C BERRY SMOOTHIE NEW</t>
  </si>
  <si>
    <t>BA 2 HEALTHY SNACK PREPACKED HUMMUS</t>
  </si>
  <si>
    <t>BT</t>
  </si>
  <si>
    <t>R SALAD QUINOA AND HERB SPML</t>
  </si>
  <si>
    <t>R PUMPKIN WDG RST 15GM DUKKAH</t>
  </si>
  <si>
    <r>
      <t>HX TC ISRAELI COUS COUS &amp; SMOKED CHICKEN</t>
    </r>
    <r>
      <rPr>
        <b/>
        <sz val="44"/>
        <rFont val="等线"/>
        <family val="2"/>
        <scheme val="minor"/>
      </rPr>
      <t xml:space="preserve"> (TC)</t>
    </r>
  </si>
  <si>
    <t>CA C FRUIT PLATE MM (BC)</t>
  </si>
  <si>
    <t>B FRT STRAWBERRY HLF CUT SOFF</t>
  </si>
  <si>
    <t>AI C STD BASIL LEAVES ALL</t>
  </si>
  <si>
    <t>AI C STD CORIANDER SPRIG ALL</t>
  </si>
  <si>
    <t>AI C STD MINT LEAVES ALL</t>
  </si>
  <si>
    <t>SB C SMOKED CHICK BREAST W GUACAMOLE &amp; SALSA</t>
  </si>
  <si>
    <t>UA C UNSWEETEN WHIPPING CREAM 100ML</t>
  </si>
  <si>
    <t>VN C UPLIFT HERBS</t>
  </si>
  <si>
    <t>B HAM LEG SHAVED PRIMO</t>
  </si>
  <si>
    <t>DL C BEEF WAGYU BRIOCHE BUGER</t>
  </si>
  <si>
    <t>R BEEF WAGYU PATTY SEAR 120G RWT</t>
  </si>
  <si>
    <t>B FRT KIWI GOLD SLC 20G</t>
  </si>
  <si>
    <t>3D0003D585</t>
  </si>
  <si>
    <t>R FRT MIX DCE 1CM IH</t>
  </si>
  <si>
    <t>B FRT MLN ROCK DCE 1CM</t>
  </si>
  <si>
    <t>BA 2 GARDEN SALAD</t>
  </si>
  <si>
    <t>R CREPE CARAMELIZED BANANAS</t>
  </si>
  <si>
    <t>CX HX</t>
  </si>
  <si>
    <t>UA Y CHOCOLATE MOUSSE W CREAM &amp; CHOCO PEARLS (EY)</t>
  </si>
  <si>
    <t>POTATO DCE STEAM</t>
  </si>
  <si>
    <t>R SALAD ASIAN SLAW VOML</t>
  </si>
  <si>
    <t>R SALAD PASTA FUSILLI RST VEGE SPML</t>
  </si>
  <si>
    <t>R RAITA MINT CUCUMBER</t>
  </si>
  <si>
    <t>PEA SNOW BLCH FINE STRIP</t>
  </si>
  <si>
    <t>MF Y HAM PUMPKIN QUINA SALAD (EY)</t>
  </si>
  <si>
    <t>MF Y SMOKE CHICKEN PEARL COUS COUS SALAD (EY)</t>
  </si>
  <si>
    <t>B VG ZUCCHINI GRN MRND GRL</t>
  </si>
  <si>
    <t>R SW PASTRAMI CHEESE PICKLE 1/2 CUT</t>
  </si>
  <si>
    <t>B PASTRAMI SLC 15G</t>
  </si>
  <si>
    <t>4 MAR FIRST FLIGHT</t>
  </si>
  <si>
    <t>R SW VEG RST CHEE SB</t>
  </si>
  <si>
    <t>B SF SALMON SMK SLC</t>
  </si>
  <si>
    <t>R SW HAM CHEE MUSTD SB</t>
  </si>
  <si>
    <t>R SW TUNA MAYO LETT SB</t>
  </si>
  <si>
    <t>R SW PASTRAMI SWT MUSTD SB</t>
  </si>
  <si>
    <t>R SAND CHICKEN MAYO</t>
  </si>
  <si>
    <t>R SW ROLL BACON CHEE OZ</t>
  </si>
  <si>
    <t>BACON GRL 15G</t>
  </si>
  <si>
    <t>R SW CROISSANT HAM CHEE</t>
  </si>
  <si>
    <t>R BERRY BANANA SMOOTHIE (BC)</t>
  </si>
  <si>
    <t>*B DRESS SHOYU SHERRY VINAIGRETTE (FC)</t>
  </si>
  <si>
    <t>R MUESLI BIRCHER APPLE HAZELNUT (BC,TC)</t>
  </si>
  <si>
    <t>R PUMPKIN DCE 2CM RST (BLML)</t>
  </si>
  <si>
    <t>R VG SPINACH SAUTE OLIVE OIL  (BLML)</t>
  </si>
  <si>
    <t>B SF TUNA MIX (SFML)</t>
  </si>
  <si>
    <t>B CHEE CHEDDAR SLC MLAND (SFML)</t>
  </si>
  <si>
    <t>C2</t>
  </si>
  <si>
    <t>AA W MESCLUN AND ROCKET SALAD (PEY)</t>
  </si>
  <si>
    <t>R SCE KETCHUP BLOODY MARY (BC)</t>
  </si>
  <si>
    <t>SALMON FLAKED RST</t>
  </si>
  <si>
    <t>B FRT KIWI PLD HLF CROWN</t>
  </si>
  <si>
    <t>B FRT PAWPAW RED SLC 30G</t>
  </si>
  <si>
    <t>B FRT APPLE RED WDGE SON 15G</t>
  </si>
  <si>
    <t>B FRT ORANGE WDG 20G PLD</t>
  </si>
  <si>
    <t>B FRT GRAPEFRUIT PINK WDG 20G</t>
  </si>
  <si>
    <t>AA 1 BREAKFAST FRUIT (TC)</t>
  </si>
  <si>
    <t xml:space="preserve">	AA 1 FRUIT SALAD APPETISER (TC)</t>
  </si>
  <si>
    <t>AA 1 FRUIT W GRANOLA</t>
  </si>
  <si>
    <t>B FRT PINEAPPLE SLC GRV 50G</t>
  </si>
  <si>
    <t>UA W CHOCOLATE MOUSSE W CREAM &amp; CHOCO PEARLS (PEY)</t>
  </si>
  <si>
    <t>B SPREAD PATE</t>
  </si>
  <si>
    <t>AA FC CHARDONNAY DRESSING</t>
  </si>
  <si>
    <t>AA C HUMMUS WITH CARROT AND CUCUMBER BATONS</t>
  </si>
  <si>
    <t>AA C SMOOTHIE MIXED BERRY</t>
  </si>
  <si>
    <t>AA 2 SALAD TATSOI COS</t>
  </si>
  <si>
    <t>AA 2 WHITE PEPPER DRESSING</t>
  </si>
  <si>
    <t>AA C PRAWN CELERY SALAD</t>
  </si>
  <si>
    <t>AA C SEARED FISH POTATOS SMOKED TOMATO DRESSING</t>
  </si>
  <si>
    <t>AA 2 PETUNA TROUT TOMATO</t>
  </si>
  <si>
    <t>AA 1 LOLLO</t>
  </si>
  <si>
    <t>11 FIRST FLIGHT</t>
  </si>
  <si>
    <t>HA FC ASPARAGUS HEARTS OF PALM SALAD</t>
  </si>
  <si>
    <t>HA TC ASPARAGUS HEARTS OF PALM SALAD</t>
  </si>
  <si>
    <t>HA FC SHOYU SHERRY VINAIGRETTE</t>
  </si>
  <si>
    <t>HA FC CHICKEN GARNISH</t>
  </si>
  <si>
    <t>HA TC CHICKEN GARNISH</t>
  </si>
  <si>
    <t>HA FC BF ENTREE 2 GARNISH 2</t>
  </si>
  <si>
    <t>HA TC BF ENTREE 2 GARNISH 2</t>
  </si>
  <si>
    <t>HA FC BF ENTREE 1 GARNISH</t>
  </si>
  <si>
    <t>HA TC BF ENTREE 1 GARNISH</t>
  </si>
  <si>
    <t>JL C MIXED NUTS</t>
  </si>
  <si>
    <t>JL C MIX OLIVE</t>
  </si>
  <si>
    <t>JL C LETTUCE TOM CAP SALAD</t>
  </si>
  <si>
    <t>MF C PICKLE SHIBAZUKE</t>
  </si>
  <si>
    <t>MF C EDAMAME SPROUT LONG BEAN</t>
  </si>
  <si>
    <t>MF C PICKLE CUCUMBER</t>
  </si>
  <si>
    <t>MF C ROAST BARRAMUNDI CONFIT LEMON COUS COUS</t>
  </si>
  <si>
    <t>MF C CHICKEN CHILLI PLUM</t>
  </si>
  <si>
    <t>OZ C HOT SMOKE SALMON NEW</t>
  </si>
  <si>
    <t>OZ C RADISH ROLL</t>
  </si>
  <si>
    <t>OZ C SMOKED CHICKEN</t>
  </si>
  <si>
    <t>OZ 1 HAM POTATO SALAD</t>
  </si>
  <si>
    <t>R DRESS VINAIGRETTE CITRUS</t>
  </si>
  <si>
    <t xml:space="preserve">                          </t>
  </si>
  <si>
    <t>FLIGHT</t>
  </si>
  <si>
    <t>SPML RICE KHEER</t>
  </si>
  <si>
    <t>R SALAD POTATO CUCUMBER EDAMAME</t>
  </si>
  <si>
    <t>BA W QUINOA BEAN SALAD</t>
  </si>
  <si>
    <t>HX Y PUMPKIN COUS COUS SALAD</t>
  </si>
  <si>
    <t>HX CC PUMPKIN COUS COUS SALAD</t>
  </si>
  <si>
    <t>B SCE PESTO BASIL VEGAN</t>
  </si>
  <si>
    <t>B FRT AVOCADO PULP FZ</t>
  </si>
  <si>
    <t>B VG TOMATO SEMIDRIED CHOP</t>
  </si>
  <si>
    <t>R SW WRP CHICKEN CHEESE &amp; RST CAPSICUM</t>
  </si>
  <si>
    <t>R SW PANINI W ROASTED VG</t>
  </si>
  <si>
    <t>B CHEE CHEDDAR SHREDDED CHEER</t>
  </si>
  <si>
    <t>B CHEE FETA PERSIAN</t>
  </si>
  <si>
    <t>B VG ONION RED SLC THIN</t>
  </si>
  <si>
    <t>R SW ROLL CIABATTA HAM CHEE RELISH</t>
  </si>
  <si>
    <t>R SW ROLL SALMON CRM CHEE</t>
  </si>
  <si>
    <t>R SW ROLL OAT RST VEG</t>
  </si>
  <si>
    <t>B MARGARINE SPREAD</t>
  </si>
  <si>
    <t>B VG CUCUMBER LEB HLF SLC</t>
  </si>
  <si>
    <t>B VG TOMATO SLICED 10G</t>
  </si>
  <si>
    <t>B VG ONION WHITE DICED 2CM</t>
  </si>
  <si>
    <t>B CHEE CREAM</t>
  </si>
  <si>
    <t>B VG ONION RED SHAVED SOAKED IN WATER</t>
  </si>
  <si>
    <t>R DRESS MAYO DIJON MUSTARD</t>
  </si>
  <si>
    <t>B PCKLD GHERKIN SLC</t>
  </si>
  <si>
    <r>
      <t>HX C ISRAELI COUS COUS &amp; SMOKED CHICKEN</t>
    </r>
    <r>
      <rPr>
        <b/>
        <sz val="44"/>
        <rFont val="等线"/>
        <family val="2"/>
        <scheme val="minor"/>
      </rPr>
      <t xml:space="preserve"> (BC)</t>
    </r>
  </si>
  <si>
    <r>
      <t xml:space="preserve">HX Y PUMPKIN COUS COUS SALAD </t>
    </r>
    <r>
      <rPr>
        <b/>
        <sz val="44"/>
        <rFont val="等线"/>
        <family val="2"/>
        <scheme val="minor"/>
      </rPr>
      <t>(EY)</t>
    </r>
  </si>
  <si>
    <r>
      <t>HX CC PUMPKIN COUS COUS SALAD</t>
    </r>
    <r>
      <rPr>
        <b/>
        <sz val="44"/>
        <rFont val="等线"/>
        <family val="2"/>
        <scheme val="minor"/>
      </rPr>
      <t xml:space="preserve"> (CC)</t>
    </r>
  </si>
  <si>
    <t>BA UA</t>
  </si>
  <si>
    <t>BEANSPROUT CHIN BLCH</t>
  </si>
  <si>
    <t>BEAN GRN 2CM ANGLE BLCH</t>
  </si>
  <si>
    <t>NUT HAZELNUT RST GND IH</t>
  </si>
  <si>
    <t>NUT ALMOND FLAKE RST</t>
  </si>
  <si>
    <t>NUT MACADAMIA ROASTED</t>
  </si>
  <si>
    <t>BUTTEGARLIC W PARSLEY</t>
  </si>
  <si>
    <t>GARNISH CHILLI SLC CHALLOT</t>
  </si>
  <si>
    <t>ASPARAGUS GRN CUT 5CM BLCH</t>
  </si>
  <si>
    <t>POTATO SWT DCE RST 2CM</t>
  </si>
  <si>
    <t>SEED PUMPKIN RST</t>
  </si>
  <si>
    <t>PICKLE MARINATION</t>
  </si>
  <si>
    <t>ONION RED WDG RST</t>
  </si>
  <si>
    <t>COCONUT SHAVED TST</t>
  </si>
  <si>
    <t>CAULIFLOWEPANNA COTTA 30G</t>
  </si>
  <si>
    <t>CHERRY TOMATO ROASTED GARLIC</t>
  </si>
  <si>
    <t>BERRIES MASCERATED</t>
  </si>
  <si>
    <t>RICE KHEER STEAMED</t>
  </si>
  <si>
    <t>CORN KERNEL FZ CKD</t>
  </si>
  <si>
    <t>BA BC FREEKAH, PEA &amp; FETA SALAD W POTATO</t>
  </si>
  <si>
    <t>BA BC BOCCONCINI W HEIRLOON TOMATO SALAD</t>
  </si>
  <si>
    <t>BA BC SEARED BARRAMUNDI W ROASTED SWEET POTATO</t>
  </si>
  <si>
    <t>BA 1 BARRAMUNDI W SAUCE VIERGE &amp; GREEN BEAN</t>
  </si>
  <si>
    <t>BA BC MUSTARD POTATO SALAD W COS LEAVES</t>
  </si>
  <si>
    <t>BA 1 MUSTARD POTATO SALAD W SPINACH LEAVES</t>
  </si>
  <si>
    <t>BA 2 SALAD COUS COUS PUMPKIN</t>
  </si>
  <si>
    <t>HX C ISRAELI COUS COUS &amp; SMOKED CHICKEN</t>
  </si>
  <si>
    <t>HX TC ISRAELI COUS COUS &amp; SMOKED CHICKEN</t>
  </si>
  <si>
    <t>HX C RIGATONI W.MUSH &amp; CREAMY TOMATO LEEK SAUCE</t>
  </si>
  <si>
    <t>HX C TERIYAKE CHICKEN W SOBA NOODLE SALAD</t>
  </si>
  <si>
    <t>HX CAPT PINEAPPLE CHEESE CAKE</t>
  </si>
  <si>
    <t>HX CAPT CORONATION SALMON SALAD</t>
  </si>
  <si>
    <t>SB W SMOKED CHICK BREAST W GUACAMOLE &amp; SALSA</t>
  </si>
  <si>
    <t>E2</t>
  </si>
  <si>
    <r>
      <t xml:space="preserve">B PCKLD KIMCHI ROLL </t>
    </r>
    <r>
      <rPr>
        <b/>
        <sz val="30"/>
        <color rgb="FFFF0000"/>
        <rFont val="等线"/>
        <family val="2"/>
        <scheme val="minor"/>
      </rPr>
      <t>60G</t>
    </r>
    <r>
      <rPr>
        <b/>
        <sz val="30"/>
        <color theme="1"/>
        <rFont val="等线"/>
        <family val="2"/>
        <scheme val="minor"/>
      </rPr>
      <t xml:space="preserve"> (12PC X 3 FOIL)</t>
    </r>
  </si>
  <si>
    <t>R SMOOTHIE BERRIES OATMEAL (FC,BC)</t>
  </si>
  <si>
    <t>R SALAD QUINOA PUMPKIN COCONUT SPML</t>
  </si>
  <si>
    <t>3D0003D270</t>
  </si>
  <si>
    <t>R VG LOTUS ROOT SAUTE HLF</t>
  </si>
  <si>
    <t>R DRESS SESAME ASIAN VOML (EY)</t>
  </si>
  <si>
    <t>R DRESS LEMON SPML (BC)</t>
  </si>
  <si>
    <t>DL TC BREAKFAST FRUIT</t>
  </si>
  <si>
    <t>B HB BASIL LEAF NO STEM</t>
  </si>
  <si>
    <t>3C0003C670</t>
  </si>
  <si>
    <r>
      <t xml:space="preserve">R SW RL CHICK PESTO FOR SW </t>
    </r>
    <r>
      <rPr>
        <b/>
        <sz val="44"/>
        <rFont val="等线"/>
        <family val="2"/>
        <scheme val="minor"/>
      </rPr>
      <t>(FC,BC)</t>
    </r>
  </si>
  <si>
    <t>B MAYONNAISE VEGAN B&amp;W</t>
  </si>
  <si>
    <t>B VG LETTUCE MESCULAN</t>
  </si>
  <si>
    <t>C9</t>
  </si>
  <si>
    <t>R FILLING SMASHED PUMPKIN AND VEGETABLES</t>
  </si>
  <si>
    <t>3900042832 </t>
  </si>
  <si>
    <r>
      <t xml:space="preserve">R SCE SESAME WHITE JP </t>
    </r>
    <r>
      <rPr>
        <b/>
        <sz val="30"/>
        <color rgb="FFFF0000"/>
        <rFont val="等线"/>
        <family val="2"/>
        <scheme val="minor"/>
      </rPr>
      <t>(PICK UP FROM HK)</t>
    </r>
  </si>
  <si>
    <t>CX W SALAMI &amp; POTATO SLD</t>
  </si>
  <si>
    <t>CX Y SALAMI &amp; POTATO SLD</t>
  </si>
  <si>
    <t>*CX 2 SALAMI POT BACON SLD</t>
  </si>
  <si>
    <t>B DRESS MAYO WHL EGG</t>
  </si>
  <si>
    <t>B HUMMUS</t>
  </si>
  <si>
    <t>R SW PANINI CHICKEN AVOCADO</t>
  </si>
  <si>
    <t>VN PY PORK BAHN MI</t>
  </si>
  <si>
    <t>VN Y PORK BAHN MI</t>
  </si>
  <si>
    <t>R PICKLED CARROT AND DAIKON SHREDDED</t>
  </si>
  <si>
    <t>B PORK PULLED</t>
  </si>
  <si>
    <t>VN 1 PORK BAHN MI</t>
  </si>
  <si>
    <t>R PORK CHAR SIU SLC 10G</t>
  </si>
  <si>
    <t>B VG CUCUMBER TEL RIBBON</t>
  </si>
  <si>
    <t>B HB CORIANDER SPRIG</t>
  </si>
  <si>
    <t>VN 2 PORK BAHN MI</t>
  </si>
  <si>
    <t>VN C PORK BAHN MI</t>
  </si>
  <si>
    <t>R MUSHROOM BUTTON SLC SAUTE</t>
  </si>
  <si>
    <r>
      <rPr>
        <sz val="44"/>
        <rFont val="等线"/>
        <family val="2"/>
        <scheme val="minor"/>
      </rPr>
      <t xml:space="preserve">R SW WRAP CHICK SRIRACHA </t>
    </r>
    <r>
      <rPr>
        <b/>
        <sz val="44"/>
        <rFont val="等线"/>
        <family val="2"/>
        <scheme val="minor"/>
      </rPr>
      <t>(CC,TC)</t>
    </r>
  </si>
  <si>
    <r>
      <t>VN PY PORK BAHN MI</t>
    </r>
    <r>
      <rPr>
        <b/>
        <sz val="44"/>
        <rFont val="等线"/>
        <family val="2"/>
        <scheme val="minor"/>
      </rPr>
      <t xml:space="preserve"> (PEY)</t>
    </r>
  </si>
  <si>
    <r>
      <t xml:space="preserve">VN Y PORK BAHN MI </t>
    </r>
    <r>
      <rPr>
        <b/>
        <sz val="44"/>
        <rFont val="等线"/>
        <family val="2"/>
        <scheme val="minor"/>
      </rPr>
      <t>(EY)</t>
    </r>
  </si>
  <si>
    <r>
      <t xml:space="preserve">VN C PORK BAHN MI </t>
    </r>
    <r>
      <rPr>
        <b/>
        <sz val="44"/>
        <rFont val="等线"/>
        <family val="2"/>
        <scheme val="minor"/>
      </rPr>
      <t>(BC)</t>
    </r>
  </si>
  <si>
    <r>
      <t xml:space="preserve">VN 1 PORK BAHN MI </t>
    </r>
    <r>
      <rPr>
        <b/>
        <sz val="44"/>
        <rFont val="等线"/>
        <family val="2"/>
        <scheme val="minor"/>
      </rPr>
      <t>(TC)</t>
    </r>
  </si>
  <si>
    <r>
      <t xml:space="preserve">VN 2 PORK BAHN MI </t>
    </r>
    <r>
      <rPr>
        <b/>
        <sz val="44"/>
        <rFont val="等线"/>
        <family val="2"/>
        <scheme val="minor"/>
      </rPr>
      <t>(CC)</t>
    </r>
  </si>
  <si>
    <t>VN PY COLESLAW WITH PRAWN</t>
  </si>
  <si>
    <t>VN Y COLESLAW WITH PRAWN</t>
  </si>
  <si>
    <t>VN 1 COLESLAW WITH PRAWN</t>
  </si>
  <si>
    <t>VN 2 COLESLAW WITH PRAWN</t>
  </si>
  <si>
    <t>CX BC ISRAELI COUS COUS AND SMOKED CHICKEN</t>
  </si>
  <si>
    <t>B CHICK BRST SMK 20G</t>
  </si>
  <si>
    <t>DL BC HOT SMOKED SALMON WITH HORSERADISH DRESSING</t>
  </si>
  <si>
    <t>B SF SALMON SMK HOT 20GR</t>
  </si>
  <si>
    <t xml:space="preserve">R BEEF PULLED SMOKEY BBQ SAUCE </t>
  </si>
  <si>
    <r>
      <t xml:space="preserve">UA C SMOKED PULLED BEEF PATATAS BRAVAS </t>
    </r>
    <r>
      <rPr>
        <b/>
        <sz val="44"/>
        <rFont val="等线"/>
        <family val="2"/>
        <scheme val="minor"/>
      </rPr>
      <t>(BC)</t>
    </r>
  </si>
  <si>
    <t>*B SMG BRESAOLA WAGYU SLC</t>
  </si>
  <si>
    <t>R SF TUNA TATAKI 15GM</t>
  </si>
  <si>
    <r>
      <t>VN C WAGYU BRESSAOLA BEEF</t>
    </r>
    <r>
      <rPr>
        <b/>
        <sz val="44"/>
        <rFont val="等线"/>
        <family val="2"/>
        <scheme val="minor"/>
      </rPr>
      <t xml:space="preserve"> (BC)</t>
    </r>
  </si>
  <si>
    <r>
      <t>VN C TUNA TATAKI</t>
    </r>
    <r>
      <rPr>
        <b/>
        <sz val="44"/>
        <rFont val="等线"/>
        <family val="2"/>
        <scheme val="minor"/>
      </rPr>
      <t xml:space="preserve"> (BC)</t>
    </r>
  </si>
  <si>
    <r>
      <t>VN C CAESAR SALAD</t>
    </r>
    <r>
      <rPr>
        <b/>
        <sz val="44"/>
        <rFont val="等线"/>
        <family val="2"/>
        <scheme val="minor"/>
      </rPr>
      <t xml:space="preserve"> (BC)</t>
    </r>
  </si>
  <si>
    <r>
      <t xml:space="preserve">VN 1 CAESAR SALAD </t>
    </r>
    <r>
      <rPr>
        <b/>
        <sz val="44"/>
        <rFont val="等线"/>
        <family val="2"/>
        <scheme val="minor"/>
      </rPr>
      <t>(TC)</t>
    </r>
  </si>
  <si>
    <r>
      <t xml:space="preserve">VN 2 CAESAR SALAD </t>
    </r>
    <r>
      <rPr>
        <b/>
        <sz val="44"/>
        <rFont val="等线"/>
        <family val="2"/>
        <scheme val="minor"/>
      </rPr>
      <t>(CC)</t>
    </r>
  </si>
  <si>
    <t>3C0003C660</t>
  </si>
  <si>
    <t>R SCE PESTO BASIL NUT FREE (BC,PEY,TC,CC)</t>
  </si>
  <si>
    <t>R DRESSING CORONATION (TC)</t>
  </si>
  <si>
    <t>R DRESS MUSTARD SEED (BC)</t>
  </si>
  <si>
    <t>DRESS BASIL OIL JP (BC)</t>
  </si>
  <si>
    <t>R CHIA CNUT PUDDING (BC)</t>
  </si>
  <si>
    <t>R DRESS HORSERADISH CRM (BC,TC,CC)</t>
  </si>
  <si>
    <t>R COCONUT LIME VINAIGRETTE (BC)</t>
  </si>
  <si>
    <t>R SCE BURGER - CX (BC)</t>
  </si>
  <si>
    <t>B FRT KIWI PLD SLC 10G</t>
  </si>
  <si>
    <t>B HB MINT LEAF EA</t>
  </si>
  <si>
    <t>AI C BREAKFAST FRUIT BOWL C2	(BC,TC,CC)</t>
  </si>
  <si>
    <t>CX C SEASONAL FRUIT TRAY C2</t>
  </si>
  <si>
    <t>B FRT STRAWBERRY HLF STON</t>
  </si>
  <si>
    <t>CX C FRUIT BOWL C2</t>
  </si>
  <si>
    <t>B MLN ROCK SLC 15G</t>
  </si>
  <si>
    <t>VN C SEASONAL FRUIT TRAY C1/3</t>
  </si>
  <si>
    <t>VN C FRUIT BOWL 1/3</t>
  </si>
  <si>
    <t>B GRAPE RED SLESS 20G</t>
  </si>
  <si>
    <t>VN PY SEASONAL FRUIT 1/3</t>
  </si>
  <si>
    <t>VN 1 SEASONAL FRUIT BOWL 1/3</t>
  </si>
  <si>
    <t>VN 2 SEASONAL FRUIT BOWL 1/3</t>
  </si>
  <si>
    <t>CX W FRUIT BOWL C2</t>
  </si>
  <si>
    <t>CX 2 FRUIT BOWL C2</t>
  </si>
  <si>
    <t>VN TCCC FRUIT TRAY 1/3</t>
  </si>
  <si>
    <t>C5</t>
  </si>
  <si>
    <t>3C0003C661</t>
  </si>
  <si>
    <t>3D0003D656</t>
  </si>
  <si>
    <t>3C0003C086</t>
  </si>
  <si>
    <t>AA CX</t>
  </si>
  <si>
    <t>CX C CHICK CONFIT CANNELO N GARNISH</t>
  </si>
  <si>
    <t>CX BC PORK FLT RST SAGE MASH N GARNISH</t>
  </si>
  <si>
    <t>CX C FARRO GRAIN ROAST VEG N GARNISH</t>
  </si>
  <si>
    <t>CX C WAGYU BEEF BURGER N GARNISH</t>
  </si>
  <si>
    <t>CX BC COCONUT CHIA &amp; FRUITS</t>
  </si>
  <si>
    <t>CX C SMOKE SALMON W CREAM CHEESE</t>
  </si>
  <si>
    <t>DL TC HOT SMOKED SALMON WITH HORSERADISH DRESSING</t>
  </si>
  <si>
    <t>DL CC HOT SMOKED SALMON WITH HORSERADISH DRESSING</t>
  </si>
  <si>
    <t>DL WC MIXED GREENS SALAD</t>
  </si>
  <si>
    <t>DL TC MIXED GREENS SALAD</t>
  </si>
  <si>
    <t>DL CC MIXED GREENS SALAD</t>
  </si>
  <si>
    <t>DL BC PUMPKIN RAVIOLI WITH PESTO CREAM SAUCE</t>
  </si>
  <si>
    <t>DL WC PUMPKIN RAVIOLI WITH PESTO CREAM SAUCE</t>
  </si>
  <si>
    <t>DL TC PUMPKIN RAVIOLI WITH PESTO CREAM SAUCE</t>
  </si>
  <si>
    <t>DL CC PUMPKIN RAVIOLI WITH PESTO CREAM SAUCE</t>
  </si>
  <si>
    <t>DL BC SOURDOUGH CROUTONS BASIL</t>
  </si>
  <si>
    <t>DL BC WHIPPED CREAM</t>
  </si>
  <si>
    <t>DL BC GREEN SALAD W ORANGE &amp; ARTICHOKE</t>
  </si>
  <si>
    <t>UA C ROAST ALMOND FLAKES 85G</t>
  </si>
  <si>
    <t>VN C WAGYU BRESSAOLA BEEF</t>
  </si>
  <si>
    <t>VN C TUNA TATAKI</t>
  </si>
  <si>
    <t>VN C RUCCOLA SALAD W SHAVED FENNEL &amp; CHERRY TOM</t>
  </si>
  <si>
    <t>VN 1 RUCCOLA SALAD W SHAVED FENNEL &amp; CHERRY TOM</t>
  </si>
  <si>
    <t>VN 2 RUCCOLA SALAD W SHAVED FENNEL &amp; CHERRY TOM</t>
  </si>
  <si>
    <t>VN C DRESS JAPANESE</t>
  </si>
  <si>
    <t>VN 1 JAPANESE DRESSING</t>
  </si>
  <si>
    <t>VN 2 JAPANESE DRESSING</t>
  </si>
  <si>
    <t>VN C CAESAR SALAD</t>
  </si>
  <si>
    <t>VN 1 CAESAR SALAD</t>
  </si>
  <si>
    <t>VN 2 CAESAR SALAD</t>
  </si>
  <si>
    <t>VN C BEEF PHO</t>
  </si>
  <si>
    <t>VN 2 BEEF PHO</t>
  </si>
  <si>
    <t>VN 1 BEEF PHO</t>
  </si>
  <si>
    <t>R CARAMELISED BANANA</t>
  </si>
  <si>
    <t>B CHICK ROLL SLICED EA</t>
  </si>
  <si>
    <t>R SANDWICH CHICKEN ROLL SOURDOUGH</t>
  </si>
  <si>
    <t>TOMATO RELISH</t>
  </si>
  <si>
    <r>
      <t xml:space="preserve">R SW PANINI CHICKEN AVOCADO </t>
    </r>
    <r>
      <rPr>
        <b/>
        <sz val="44"/>
        <rFont val="等线"/>
        <family val="2"/>
        <scheme val="minor"/>
      </rPr>
      <t>(PEY,EY)</t>
    </r>
  </si>
  <si>
    <t>TOFU VEG GRL 20G EA</t>
  </si>
  <si>
    <t>TUNA TATAKI 15GM</t>
  </si>
  <si>
    <t>CROUTON BUTPSLY</t>
  </si>
  <si>
    <t>CROUTON SOURDOUGH W.BASIL OLIVE OIL</t>
  </si>
  <si>
    <t>CCOUS ISRAELI W.RST VEG</t>
  </si>
  <si>
    <t>FIG BALSAMIC GLAZED 1/4 CUT</t>
  </si>
  <si>
    <t>PCKLD ONION RED RING-CX</t>
  </si>
  <si>
    <t>PCKLD ZUCCHINI ONION-CX</t>
  </si>
  <si>
    <t>ZUCCHINI GRN RIBBON GRL</t>
  </si>
  <si>
    <t xml:space="preserve">BA </t>
  </si>
  <si>
    <r>
      <t xml:space="preserve">R SW WRP CHICKEN CHEESE &amp; RST CAPSICUM </t>
    </r>
    <r>
      <rPr>
        <b/>
        <sz val="44"/>
        <rFont val="等线"/>
        <family val="2"/>
        <scheme val="minor"/>
      </rPr>
      <t>(BC,TC)</t>
    </r>
  </si>
  <si>
    <t>FOR BC</t>
  </si>
  <si>
    <t>FOR SW  AM</t>
  </si>
  <si>
    <t>FOR SW  PM</t>
  </si>
  <si>
    <r>
      <t xml:space="preserve">MF Y SMOKE CHICKEN PEARL COUS COUS SALAD (EY)
</t>
    </r>
    <r>
      <rPr>
        <b/>
        <sz val="44"/>
        <rFont val="等线"/>
        <family val="2"/>
        <scheme val="minor"/>
      </rPr>
      <t>CHICK BRST SMK 15G</t>
    </r>
  </si>
  <si>
    <r>
      <rPr>
        <b/>
        <sz val="44"/>
        <rFont val="等线"/>
        <family val="2"/>
        <scheme val="minor"/>
      </rPr>
      <t xml:space="preserve">B CHICKEN THIGH SKIN OFF 120GM </t>
    </r>
    <r>
      <rPr>
        <sz val="44"/>
        <rFont val="等线"/>
        <family val="2"/>
        <scheme val="minor"/>
      </rPr>
      <t>FOR PM SW
(USE CHICKEN THIGH SKIN OFF 120GM SLICE THE CHICKEN TO STRIPS/JULIENNE)</t>
    </r>
  </si>
  <si>
    <r>
      <rPr>
        <b/>
        <sz val="44"/>
        <rFont val="等线"/>
        <family val="2"/>
        <scheme val="minor"/>
      </rPr>
      <t xml:space="preserve">R BEEF FLT SEARED CUT INTO 4 PCS </t>
    </r>
    <r>
      <rPr>
        <sz val="44"/>
        <rFont val="等线"/>
        <family val="2"/>
        <scheme val="minor"/>
      </rPr>
      <t>FOR SW
(USE BEEF TENDERLOIN GRAIN FED MB2 120GR)</t>
    </r>
  </si>
  <si>
    <t>EVERY 
16th-End</t>
  </si>
  <si>
    <r>
      <rPr>
        <sz val="44"/>
        <rFont val="等线"/>
        <family val="2"/>
        <scheme val="minor"/>
      </rPr>
      <t>SB C SMOKED CHICK BREAST W GUACAMOLE &amp; SALSA (BC,PEY)</t>
    </r>
    <r>
      <rPr>
        <b/>
        <sz val="44"/>
        <rFont val="等线"/>
        <family val="2"/>
        <scheme val="minor"/>
      </rPr>
      <t xml:space="preserve">
B CHICK BRST SMK 10G</t>
    </r>
  </si>
  <si>
    <t>R SAUCE ROMESCO SUNFLOWER (TC)</t>
  </si>
  <si>
    <t>+0</t>
  </si>
  <si>
    <r>
      <t>DL BC HOT SMOKED SALMON WITH HORSERADISH DRESSING</t>
    </r>
    <r>
      <rPr>
        <b/>
        <sz val="44"/>
        <rFont val="等线"/>
        <family val="2"/>
        <scheme val="minor"/>
      </rPr>
      <t xml:space="preserve"> (BC)</t>
    </r>
  </si>
  <si>
    <r>
      <t>DL TC HOT SMOKED SALMON WITH HORSERADISH DRESSING</t>
    </r>
    <r>
      <rPr>
        <b/>
        <sz val="44"/>
        <rFont val="等线"/>
        <family val="2"/>
        <scheme val="minor"/>
      </rPr>
      <t xml:space="preserve"> (TC)</t>
    </r>
  </si>
  <si>
    <r>
      <t xml:space="preserve">DL CC HOT SMOKED SALMON WITH HORSERADISH DRESSING </t>
    </r>
    <r>
      <rPr>
        <b/>
        <sz val="44"/>
        <rFont val="等线"/>
        <family val="2"/>
        <scheme val="minor"/>
      </rPr>
      <t>(CC)</t>
    </r>
  </si>
  <si>
    <t>B MLN WATER DCE 2CM IH</t>
  </si>
  <si>
    <t>B MLN ROCK DCE 2CM</t>
  </si>
  <si>
    <t>R VG ASPARAGUS GRL 4CM</t>
  </si>
  <si>
    <t>R VG CARROT BATON RST</t>
  </si>
  <si>
    <t>R SALAD CHICKPEA SUNDAL INHOUSE</t>
  </si>
  <si>
    <t>CA Y PASTA SALAD W HONEY SMOKE HAM</t>
  </si>
  <si>
    <t>JL Y TUNA POTATO SALAD</t>
  </si>
  <si>
    <t>KE Y MEDITERRANEANN ROST VEG SALAD</t>
  </si>
  <si>
    <t>LA Y PASTRAMI AND BARLEY SALAD</t>
  </si>
  <si>
    <t>OZ Y PASTA PRAWN SALAD</t>
  </si>
  <si>
    <t>UA Y BERRY CHIA COCONUT PUDDING</t>
  </si>
  <si>
    <t>EY SALAD -  JUN 2026</t>
  </si>
  <si>
    <t>2  JUN FIRST FLIGHT</t>
  </si>
  <si>
    <t>8  JUN FIRST FLIGHT</t>
  </si>
  <si>
    <t>AA 1 STEAK AND SAUTEED ONION SANDWICH</t>
  </si>
  <si>
    <t>R CHICKEN KATSU BURGER W ASIAN SLAW</t>
  </si>
  <si>
    <t>R CHICK THG KATSU FRY 1/2 CUT</t>
  </si>
  <si>
    <t>R DRESS SRIACHA CHILLI MAYO</t>
  </si>
  <si>
    <t>R SALAD ASIAN SLAW CAPS</t>
  </si>
  <si>
    <t>R SW RL CHICK MAYO CUCUMBER</t>
  </si>
  <si>
    <t>R SW CHICK MAYO CUCUMBER 1/2 CUT</t>
  </si>
  <si>
    <t>R SW CHICK HONEY MUSTARD JALAPENO CIABATTA</t>
  </si>
  <si>
    <t>B VG CHILLI JALAPENO CHOP (CANNED)</t>
  </si>
  <si>
    <t>B DRESS HONEY MUSTARD</t>
  </si>
  <si>
    <t>R SW PANEER PERI PERI CHEESE TURKISH</t>
  </si>
  <si>
    <t>R SW TURKEY CLUB</t>
  </si>
  <si>
    <t>R EGG FRIED FRESH EA</t>
  </si>
  <si>
    <t>B TURKEY BRST RST SHVD</t>
  </si>
  <si>
    <t>R SW CHICK MAYO SB</t>
  </si>
  <si>
    <t>R SW CHEE GHERKIN SEMI TOM</t>
  </si>
  <si>
    <t>R CHEESE GHERKIN SEMI DRIED TOM MIX</t>
  </si>
  <si>
    <t>R SW ROAST PEPPER,TOMATO, PESTO,MESCLUN</t>
  </si>
  <si>
    <t>START FROM 10 JUN</t>
  </si>
  <si>
    <t>R SW CUC TOM AVO SB</t>
  </si>
  <si>
    <t>R SW WRP TUNA GOURMET HLF CUT 12CM WP</t>
  </si>
  <si>
    <t>R SW RL HAM CHEE WP</t>
  </si>
  <si>
    <t>R SW PITA TABOULI HUMMUS WP</t>
  </si>
  <si>
    <t>R SW TURKEY CHEE CRANBERRY SB</t>
  </si>
  <si>
    <t>R SALAD TABOULI CHICKPEA</t>
  </si>
  <si>
    <t>B SCE CRANBERRY</t>
  </si>
  <si>
    <t>R SW BEEF GHERKIN MUSTARD SB</t>
  </si>
  <si>
    <t>B BEEF RST SLC THIN</t>
  </si>
  <si>
    <t>R SW EGG CHIVES SB</t>
  </si>
  <si>
    <t>R EGG W.CHIVE MAYO</t>
  </si>
  <si>
    <t>R SW VG RST TOM RELISH TAHINI</t>
  </si>
  <si>
    <t>7 JUN LAST FLIGHT</t>
  </si>
  <si>
    <t>R SW BEEF PASTRAMI HUMMUS</t>
  </si>
  <si>
    <t>WRAP VEG HUMMUS SWT POT</t>
  </si>
  <si>
    <t>B BEEF PASTRAMI SLC</t>
  </si>
  <si>
    <t>HUMMUS SWEET POTATO</t>
  </si>
  <si>
    <t>B VG CAPSICUM RED MRND GRL DCE 1CM</t>
  </si>
  <si>
    <t>R VG ZUCCHINI GRN RIBBON GRL MARK</t>
  </si>
  <si>
    <t>CAPS YEL RST PEELED</t>
  </si>
  <si>
    <t>SANDWICH - JUN 2026</t>
  </si>
  <si>
    <r>
      <t>AC CAPT HOT SMOKED SALMON &amp; FENNEL SALADN</t>
    </r>
    <r>
      <rPr>
        <b/>
        <sz val="44"/>
        <rFont val="等线"/>
        <family val="2"/>
        <scheme val="minor"/>
      </rPr>
      <t xml:space="preserve"> (TC)</t>
    </r>
  </si>
  <si>
    <t>B SF SALMON HOT SMK 20GM</t>
  </si>
  <si>
    <r>
      <t xml:space="preserve">AC TC CHILLED CHICKEN SALAD </t>
    </r>
    <r>
      <rPr>
        <b/>
        <sz val="44"/>
        <rFont val="等线"/>
        <family val="2"/>
        <scheme val="minor"/>
      </rPr>
      <t>(TC)</t>
    </r>
  </si>
  <si>
    <t>BA BC TUNA TATAKI W GRAPEFRUIT SEG EDAMAME</t>
  </si>
  <si>
    <t>A6</t>
  </si>
  <si>
    <t>R SF TUNA TATAKI W SOY 10G EA</t>
  </si>
  <si>
    <t>B BEEF SLOIN RST SLC HALA (BC)</t>
  </si>
  <si>
    <t>CA C TUNA TATAKI W HONEY LEMON (BC)</t>
  </si>
  <si>
    <t>R CHICKEN BBQ THG RST SLC 10G</t>
  </si>
  <si>
    <t>JL C SMOKE SALMON MOUSSE EGG ROAST CHICKEN HARISSA (BC)</t>
  </si>
  <si>
    <t>JL 1 SMOKE SALMON MOUSSE EGG ROAST CHICKEN (TC)</t>
  </si>
  <si>
    <t>JL Y CHAR GRILL CHICKEN W PENNE PASTA (EY,CC)</t>
  </si>
  <si>
    <t>KE C BBQ PORK SLICES, COMPRESSED WATERMELON (BC)</t>
  </si>
  <si>
    <t>2 JUN FIRST FLIGHT</t>
  </si>
  <si>
    <t>R SF TUNA SUKA SEARED OVEN 20G EA</t>
  </si>
  <si>
    <r>
      <rPr>
        <sz val="44"/>
        <rFont val="等线"/>
        <family val="2"/>
        <scheme val="minor"/>
      </rPr>
      <t>SB CAPT HOT SMOKED SALMON CELERIAC REMOULADE (TC)</t>
    </r>
    <r>
      <rPr>
        <b/>
        <sz val="44"/>
        <rFont val="等线"/>
        <family val="2"/>
        <scheme val="minor"/>
      </rPr>
      <t xml:space="preserve">
B SF SALMON HOT SMK 10GM</t>
    </r>
  </si>
  <si>
    <t>PROTEIN- JUN 2026</t>
  </si>
  <si>
    <t>R NOODLE SOBA SALAD SPML</t>
  </si>
  <si>
    <t>9 JUN LAST FLIGHT</t>
  </si>
  <si>
    <t>R SALSA VERDE (BC)</t>
  </si>
  <si>
    <t>R DRESS WHITE PEPPER SC (FC,BC,CC)</t>
  </si>
  <si>
    <t>10 JUN FIRST FLIGHT</t>
  </si>
  <si>
    <t>R PUDDING CHIA MANGO COCONUT (BC,TC)</t>
  </si>
  <si>
    <t>3C0003C115</t>
  </si>
  <si>
    <t>R DRESS RED WINE EVO (TC)</t>
  </si>
  <si>
    <t>AC VN</t>
  </si>
  <si>
    <t>R DRESS SRIACHA CHILLI MAYO (BC,TC)</t>
  </si>
  <si>
    <t>HX SB</t>
  </si>
  <si>
    <t>R DRESSING BEETROOT VINAIGRETTE (BC)</t>
  </si>
  <si>
    <t>SCE VIERGE (BC,TC,CC)</t>
  </si>
  <si>
    <t>R DRESS HONEY LEMON (BC)</t>
  </si>
  <si>
    <t>R COMPOTE APRICOT (BC,TC,CC)</t>
  </si>
  <si>
    <t>8 JUN FIRST FLIGHT</t>
  </si>
  <si>
    <t>MAYO CHIPOTLE JAPANESE (BC)</t>
  </si>
  <si>
    <t>DRESS PINENUT KOREAN (BC)</t>
  </si>
  <si>
    <t>B9</t>
  </si>
  <si>
    <t>R PUDDING CHIA BERRY COCONUT (EY)</t>
  </si>
  <si>
    <t>R PUDDING CHIA MANGO COCONUT(BC,CC)</t>
  </si>
  <si>
    <r>
      <rPr>
        <b/>
        <sz val="30"/>
        <color rgb="FFFF0000"/>
        <rFont val="等线"/>
        <family val="2"/>
        <scheme val="minor"/>
      </rPr>
      <t>R PUDDING CHIA MANGO COCONUT(BC,CC)-</t>
    </r>
    <r>
      <rPr>
        <sz val="30"/>
        <rFont val="等线"/>
        <family val="2"/>
        <scheme val="minor"/>
      </rPr>
      <t xml:space="preserve">
R SMOOTHIE MANGO COCONUT</t>
    </r>
  </si>
  <si>
    <t>R SMOOTHIE BERRIES COCONUT</t>
  </si>
  <si>
    <t>R SCE PONZU -JP (BC,TC,CC)</t>
  </si>
  <si>
    <t>R SALSA VERDE (BC,PEY,TC,CC)</t>
  </si>
  <si>
    <t>R SMOOTHIE RHUBARB GINGER IH (FC,BC)</t>
  </si>
  <si>
    <t>Vegetable/ Fruit Based (Expired +2 days)</t>
  </si>
  <si>
    <t>DRESSING - JUN 2026</t>
  </si>
  <si>
    <t>R COMPOTE RHBARB GINGER IH</t>
  </si>
  <si>
    <t>3C0003C195</t>
  </si>
  <si>
    <t>BA DL</t>
  </si>
  <si>
    <t>R VEG ASPARAGUS CHAR GRILL</t>
  </si>
  <si>
    <t>NA</t>
  </si>
  <si>
    <t>R BAMBOOSHOOT SLC BLANCH</t>
  </si>
  <si>
    <t>R NUT PISTACHIO RST CHOP</t>
  </si>
  <si>
    <t>COOKING LIST - JUN 2026</t>
  </si>
  <si>
    <t>SPML AC MF</t>
  </si>
  <si>
    <t xml:space="preserve"> BA MF</t>
  </si>
  <si>
    <t>AC BA HA MF VN</t>
  </si>
  <si>
    <t>BA VN</t>
  </si>
  <si>
    <t>AC CX HX VN</t>
  </si>
  <si>
    <t>AI LA UA</t>
  </si>
  <si>
    <t>AC UA</t>
  </si>
  <si>
    <t>PUMPKIN DCE HONEY RST</t>
  </si>
  <si>
    <t>PUMPKIN DCE 2CM RST</t>
  </si>
  <si>
    <t>BEETROOT BABY BALSAMIC RST 1/4 CUT</t>
  </si>
  <si>
    <t>PRAWN TAIL ON THAI STYLE EA</t>
  </si>
  <si>
    <t>PRAWN MEAT 60-90 CKD</t>
  </si>
  <si>
    <t>CROUTON SOURDOUGH GARLIC</t>
  </si>
  <si>
    <t>CORN KERNEL SEAR</t>
  </si>
  <si>
    <t>PRAWN 26/30 HARISSA SAUTE</t>
  </si>
  <si>
    <t>BEAN EDAMAME CKD</t>
  </si>
  <si>
    <t>CARROT FLWR 5G BLCH.OIL</t>
  </si>
  <si>
    <t>LOBSTER MEDALLION 15GR</t>
  </si>
  <si>
    <t>PRAWN STM 26 30 TON</t>
  </si>
  <si>
    <t>TUNA TATAKI W SOY 10G EA</t>
  </si>
  <si>
    <t>COMPOTE PINEAPPLE</t>
  </si>
  <si>
    <t>TUNA SUKA SEARED OVEN 20G EA</t>
  </si>
  <si>
    <t>FENNEL SMALL QTR GRL</t>
  </si>
  <si>
    <t>POTATO DCE 1CM BI STEAM</t>
  </si>
  <si>
    <r>
      <t>BEEF SLOIN RST SLC HALA
USE</t>
    </r>
    <r>
      <rPr>
        <b/>
        <sz val="30"/>
        <rFont val="等线"/>
        <family val="2"/>
        <scheme val="minor"/>
      </rPr>
      <t xml:space="preserve"> M510000028 BEEF STRIPLOIN WHOLE</t>
    </r>
  </si>
  <si>
    <t>BREAD WHT CP BASE RND TST</t>
  </si>
  <si>
    <t xml:space="preserve">	AA FC FRUIT W GRANOLA (FC)</t>
  </si>
  <si>
    <t xml:space="preserve">	AA C FRUIT W GRANOLA (BC)</t>
  </si>
  <si>
    <t xml:space="preserve">	AA 1 FRUIT W GRANOLA</t>
  </si>
  <si>
    <t>AI C FRUIT PLATE C3(BC)</t>
  </si>
  <si>
    <t>B FRT ORANGE SEGMENT EA</t>
  </si>
  <si>
    <t>KE C FRUIT TRAY C2/C4</t>
  </si>
  <si>
    <t>B MLN ROCK UNPLD 1/16 WDG CUT</t>
  </si>
  <si>
    <t>B FRT KIWI PLD SLC 20G</t>
  </si>
  <si>
    <t>LA C FRUIT PLATE (BC,TC)</t>
  </si>
  <si>
    <t>LA CAPTAIN FRUIT BOWL (TC)</t>
  </si>
  <si>
    <t>LA C FRUIT GLASS C2 (CC)</t>
  </si>
  <si>
    <t>OZ C FRUIT PLATE</t>
  </si>
  <si>
    <t xml:space="preserve">FC/BC FRUIT - JUN 2026 </t>
  </si>
  <si>
    <t>EY C MM SEASONAL FRUITS C2 C4</t>
  </si>
  <si>
    <t>2H00000339</t>
  </si>
  <si>
    <t>B HALAL MLN ROCK WDG 30G</t>
  </si>
  <si>
    <t>EY CP SNK SEASONAL FRUITS C2 C4</t>
  </si>
  <si>
    <t>BUTTER LOBSTER</t>
  </si>
  <si>
    <t>ASSEMBLY -JUN 2026</t>
  </si>
  <si>
    <t>AA FC SUMMER / WINTER SALAD</t>
  </si>
  <si>
    <t>AA FC WHITE PEPPER DRESSING</t>
  </si>
  <si>
    <t>AA FC ROCK LOBSTER NATIVE LIME CAVIAR CREME FRAICH</t>
  </si>
  <si>
    <t>AA FC PICKED WATERMELON AND PERSIAN FETA</t>
  </si>
  <si>
    <t>AA FC LOBSTER BUTTER</t>
  </si>
  <si>
    <t>AA FC CITRUS SALAD</t>
  </si>
  <si>
    <t>AA 1 CITRUS SALAD</t>
  </si>
  <si>
    <t>AA FC RISOTTO GARNISH</t>
  </si>
  <si>
    <t>AA FC WHIPPED CREAM</t>
  </si>
  <si>
    <t>AA FC BAR GARNISH OLIVES</t>
  </si>
  <si>
    <t>AA C WARM SANDWICH ACCOMP</t>
  </si>
  <si>
    <t>AA C HUON BEETROOT MARINATED SALMON</t>
  </si>
  <si>
    <t>AA C MACADAMIA CHOPPED</t>
  </si>
  <si>
    <t>AA FC MACADAMIA CHOPPED</t>
  </si>
  <si>
    <t>AA FC SMOOTHIE GINGER AND RHUBARB</t>
  </si>
  <si>
    <t>AC C SOBA NOODLE SALAD WITH SEAR PRAWNS</t>
  </si>
  <si>
    <t>AC C BARRAMUNDI FINGERLIME BUTTER WITH AGED RICE</t>
  </si>
  <si>
    <t>AC C QUINOA SOYBEAN ROAST PUMPKIN SALAD W GOAT CHS</t>
  </si>
  <si>
    <t>AC TC QUINOA SOYBEAN PUMPKIN SALAD W GOATS CHEESE</t>
  </si>
  <si>
    <t>AC C MANGO COCONUT CHIA PUDDING</t>
  </si>
  <si>
    <t>AC TC MANGO COCONUT CHIA PUDDING</t>
  </si>
  <si>
    <t>AC CAPT HOT SMOKED SALMON &amp; FENNEL SALAD</t>
  </si>
  <si>
    <t>AC TC CHILLED CHICKEN SALAD</t>
  </si>
  <si>
    <t>AC CC FARRO RSTD VEG SALAD</t>
  </si>
  <si>
    <t>AC CAPT ROASTED VEGETABLE SALAD WITH FETA</t>
  </si>
  <si>
    <t>AC CC RST MEDITERRANEAN SALAD</t>
  </si>
  <si>
    <t>AC CAPT BIRCHER MUESLI W/GARNISH</t>
  </si>
  <si>
    <t>AI C SMOKED SALMON ROASTED BEETROOT</t>
  </si>
  <si>
    <t>AI C BROCCONCINI AND CHERRY TOMATO PESTO CAPRESE</t>
  </si>
  <si>
    <t>AI C DARK CHOCOCLATE CAKE AND ORANGE CAKE</t>
  </si>
  <si>
    <t>AI C RASMALAI IN THANDAI MIX AND PISTACHIO</t>
  </si>
  <si>
    <t>AI 2 FRONT RASMALAI IN THANDAI MIX AND PISTACHIO</t>
  </si>
  <si>
    <t>AI C SPINACH AND RICOTTA CANNELLONI BALSAMIC GLAZE</t>
  </si>
  <si>
    <t>AI 2 FRONT SPINACH &amp; RICOTTA CANNELLONI BALSAMIC</t>
  </si>
  <si>
    <t>AI C REFRESHMENT GARNISH NEW-3</t>
  </si>
  <si>
    <t>AI 2 FRONT REFRESHMENT GARNISH NEW-3</t>
  </si>
  <si>
    <t>AI C BIRCHER MUESLI WITH DICED FRUITS, RED BERRIES</t>
  </si>
  <si>
    <t>AI CP SMOKED SALMON PICKLED CAPERS</t>
  </si>
  <si>
    <t>AI CP GRILLED ZUCCHINI WITH CREAME CHEESE HERBS</t>
  </si>
  <si>
    <t>BA BC SOUP GARNISH BUTTER PARSLEY CROUTONS</t>
  </si>
  <si>
    <t>CP CRAB/DILL MAYO</t>
  </si>
  <si>
    <t>3A0003A702</t>
  </si>
  <si>
    <t>R CP BEEF ASP ROLL CHIN</t>
  </si>
  <si>
    <t>CA C TUNA TATAKI W HONEY LEMON</t>
  </si>
  <si>
    <t>CA C CHERRY TOMATO FENNEL SALAD</t>
  </si>
  <si>
    <t>CA C STRIFRIED SUI CHOI EDAMAME BEAN</t>
  </si>
  <si>
    <t>CA C PICKLE CUCUMBER</t>
  </si>
  <si>
    <t>JL C SMOKE SALMON MOUSSE EGG ROAST CHICKEN HARISSA</t>
  </si>
  <si>
    <t>JL 1 SMOKE SALMON MOUSSE EGG ROAST CHICKEN</t>
  </si>
  <si>
    <t>JL 1 HARISSA PRAWN BOCCONCINI APRICOT COMPOTE</t>
  </si>
  <si>
    <t>JL 1 APPETIZER - 4TH CYC B 2026</t>
  </si>
  <si>
    <t>KE C CRABMEAT TOGARASHI MAYO W HERB &amp; FLOWER CRUST</t>
  </si>
  <si>
    <t>KE C BBQ PORK SLICES, COMPRESSED WATERMELON</t>
  </si>
  <si>
    <t>KE C MORCAN COUSCOUS SALAD</t>
  </si>
  <si>
    <t>KE C SALAD SWEED CHUKA</t>
  </si>
  <si>
    <t>LA C CHILLED CRAB AND PICKLED CUCUMBER</t>
  </si>
  <si>
    <t>LA C CHERRY TOMATO FLAKED ALMOND SALAD</t>
  </si>
  <si>
    <t>LA CC SALAD CHERRY TOM FLAKED ALMOND</t>
  </si>
  <si>
    <t>LA C GOURMET SALAD C2</t>
  </si>
  <si>
    <t>LA C SMOKED SALMON</t>
  </si>
  <si>
    <t>LA C COLD DELI PLATE</t>
  </si>
  <si>
    <t>LA C YOGHURT BOYSENBERRY COMPOTE &amp; GRANOLA CRNBRY</t>
  </si>
  <si>
    <t>LA CAPTAIN MIXED GREENS, CUCUMBER AND BLACK OLIVE</t>
  </si>
  <si>
    <t>OZ C PROSCIUTTO W/GREEN</t>
  </si>
  <si>
    <t>OZ C KOREAN PRAWN</t>
  </si>
  <si>
    <t>OZ 1 SMK SALMON LETTUCE</t>
  </si>
  <si>
    <t>OZ C FRENCH TOAST WITH MANGO COMPOTE</t>
  </si>
  <si>
    <t>SB C CORONATION GRILLED CHICKEN APPETISER</t>
  </si>
  <si>
    <t>SB CAPT HOT SMOKED SALMON CELERIAC REMOULADE</t>
  </si>
  <si>
    <t>SB TC CHERRY BOCONCINI W PROSCIUTTO AND ARTICHOKE</t>
  </si>
  <si>
    <t>SB CC CHERRY BOCONCINI W PROSCIUTTO AND ARTICHOKE</t>
  </si>
  <si>
    <t>UA C PAN SEARED TUNA WITH PICKLED RADISH N EDAMAME</t>
  </si>
  <si>
    <t>UA CREW PAN SEARED TUNA W PKLD RADISH N EDAMAME</t>
  </si>
  <si>
    <t>UA C WHIPPED HERB RICOTTA WITH SALSA AND PISTACHIO</t>
  </si>
  <si>
    <t>UA CREW WHIPPED HERB RICOTTA W SALSA AND PISTACHIO</t>
  </si>
  <si>
    <t>UA C SEARED BARRAMUNDI W GREMOLATA &amp; FARRO RISOTTO</t>
  </si>
  <si>
    <t>UA CREW BARRAMUNDI W GREMOLATA &amp; FARRO RISOTTO</t>
  </si>
  <si>
    <t>UA C SEARED CHICKEN BREAST WITH SMASHED KIPFLERS</t>
  </si>
  <si>
    <t>UA W SEARED CHICKEN BREAST WITH SMASHED KIPFLERS</t>
  </si>
  <si>
    <t>UA TC SEARED CHICKEN BREAST W SMASHED KIPFLERS</t>
  </si>
  <si>
    <t>UA CREW SEARED CHICKEN BREAST W SMASHED KIPFLERS</t>
  </si>
  <si>
    <t>UA C MANGO CHIA PUDDING WITH STRAWBERRY RHUBARB</t>
  </si>
  <si>
    <t>UA CREW MANGO CHIA PUDDING WITH STRAWBERRY RHUBARB</t>
  </si>
  <si>
    <t>8 JUN LAST FLIGHT</t>
  </si>
  <si>
    <t>SPML AI</t>
  </si>
  <si>
    <t>DATE</t>
  </si>
  <si>
    <t>FOR EY  SALAD</t>
  </si>
  <si>
    <t>R DRESS LEMON VINAIGRET</t>
  </si>
  <si>
    <t>B CHICK SHRD RST OS</t>
  </si>
  <si>
    <r>
      <t>R SW CHICK MAYO CUCUMBER 1/2 CUT</t>
    </r>
    <r>
      <rPr>
        <b/>
        <sz val="44"/>
        <rFont val="等线"/>
        <family val="2"/>
        <scheme val="minor"/>
      </rPr>
      <t xml:space="preserve"> (CC)</t>
    </r>
  </si>
  <si>
    <r>
      <t xml:space="preserve">R SW RL CHICK MAYO CUCUMBER </t>
    </r>
    <r>
      <rPr>
        <b/>
        <sz val="44"/>
        <rFont val="等线"/>
        <family val="2"/>
        <scheme val="minor"/>
      </rPr>
      <t>(PEY,EY)</t>
    </r>
  </si>
  <si>
    <t>R PORK CHARSIU RST SLC 20G</t>
  </si>
  <si>
    <t>``</t>
  </si>
  <si>
    <t xml:space="preserve">Airline </t>
    <phoneticPr fontId="48" type="noConversion"/>
  </si>
  <si>
    <t>No Flight</t>
    <phoneticPr fontId="48" type="noConversion"/>
  </si>
  <si>
    <t>AA</t>
    <phoneticPr fontId="48" type="noConversion"/>
  </si>
  <si>
    <t>AC</t>
    <phoneticPr fontId="48" type="noConversion"/>
  </si>
  <si>
    <t>BA</t>
    <phoneticPr fontId="48" type="noConversion"/>
  </si>
  <si>
    <t xml:space="preserve">AI </t>
    <phoneticPr fontId="48" type="noConversion"/>
  </si>
  <si>
    <t>CA</t>
    <phoneticPr fontId="48" type="noConversion"/>
  </si>
  <si>
    <t>CX</t>
    <phoneticPr fontId="48" type="noConversion"/>
  </si>
  <si>
    <t>DL</t>
    <phoneticPr fontId="48" type="noConversion"/>
  </si>
  <si>
    <t>HA</t>
    <phoneticPr fontId="48" type="noConversion"/>
  </si>
  <si>
    <t>HX</t>
    <phoneticPr fontId="48" type="noConversion"/>
  </si>
  <si>
    <t>JL</t>
    <phoneticPr fontId="48" type="noConversion"/>
  </si>
  <si>
    <t>KE</t>
    <phoneticPr fontId="48" type="noConversion"/>
  </si>
  <si>
    <t>LA</t>
    <phoneticPr fontId="48" type="noConversion"/>
  </si>
  <si>
    <t>MF</t>
    <phoneticPr fontId="48" type="noConversion"/>
  </si>
  <si>
    <t>OZ</t>
    <phoneticPr fontId="48" type="noConversion"/>
  </si>
  <si>
    <t>SB</t>
    <phoneticPr fontId="48" type="noConversion"/>
  </si>
  <si>
    <t>UA</t>
    <phoneticPr fontId="48" type="noConversion"/>
  </si>
  <si>
    <t>VN</t>
    <phoneticPr fontId="48" type="noConversion"/>
  </si>
  <si>
    <t>YES</t>
    <phoneticPr fontId="4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</si>
</sst>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0"/>
    <numFmt numFmtId="178" formatCode="[$-F800]dddd\,\ mmmm\ dd\,\ yyyy"/>
  </numFmts>
  <fonts count="51" x14ac:knownFonts="1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8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9C0006"/>
      <name val="等线"/>
      <family val="2"/>
      <scheme val="minor"/>
    </font>
    <font>
      <b/>
      <sz val="11"/>
      <color theme="0"/>
      <name val="等线"/>
      <family val="2"/>
      <scheme val="minor"/>
    </font>
    <font>
      <b/>
      <sz val="16"/>
      <color theme="0"/>
      <name val="等线"/>
      <family val="2"/>
      <scheme val="minor"/>
    </font>
    <font>
      <b/>
      <sz val="16"/>
      <color rgb="FFFF0000"/>
      <name val="等线"/>
      <family val="2"/>
      <scheme val="minor"/>
    </font>
    <font>
      <sz val="16"/>
      <color theme="1"/>
      <name val="等线"/>
      <family val="2"/>
      <scheme val="minor"/>
    </font>
    <font>
      <sz val="16"/>
      <name val="等线"/>
      <family val="2"/>
      <scheme val="minor"/>
    </font>
    <font>
      <sz val="11"/>
      <color theme="1" tint="0.24994659260841701"/>
      <name val="等线"/>
      <family val="2"/>
      <scheme val="minor"/>
    </font>
    <font>
      <b/>
      <sz val="50"/>
      <color indexed="81"/>
      <name val="Tahoma"/>
      <family val="2"/>
    </font>
    <font>
      <sz val="50"/>
      <color indexed="81"/>
      <name val="Tahoma"/>
      <family val="2"/>
    </font>
    <font>
      <b/>
      <sz val="30"/>
      <color theme="0"/>
      <name val="等线"/>
      <family val="2"/>
      <scheme val="minor"/>
    </font>
    <font>
      <b/>
      <sz val="30"/>
      <color rgb="FFFFFF00"/>
      <name val="等线"/>
      <family val="2"/>
      <scheme val="minor"/>
    </font>
    <font>
      <sz val="30"/>
      <name val="等线"/>
      <family val="2"/>
      <scheme val="minor"/>
    </font>
    <font>
      <b/>
      <sz val="30"/>
      <color rgb="FFFF0000"/>
      <name val="等线"/>
      <family val="2"/>
      <scheme val="minor"/>
    </font>
    <font>
      <b/>
      <sz val="30"/>
      <color theme="1"/>
      <name val="等线"/>
      <family val="2"/>
      <scheme val="minor"/>
    </font>
    <font>
      <b/>
      <sz val="30"/>
      <name val="等线"/>
      <family val="2"/>
      <scheme val="minor"/>
    </font>
    <font>
      <sz val="30"/>
      <color theme="1"/>
      <name val="等线"/>
      <family val="2"/>
      <scheme val="minor"/>
    </font>
    <font>
      <sz val="30"/>
      <color theme="0"/>
      <name val="等线"/>
      <family val="2"/>
      <scheme val="minor"/>
    </font>
    <font>
      <b/>
      <sz val="26"/>
      <color theme="0"/>
      <name val="等线"/>
      <family val="2"/>
      <scheme val="minor"/>
    </font>
    <font>
      <sz val="30"/>
      <name val="MV Boli"/>
    </font>
    <font>
      <b/>
      <sz val="48"/>
      <color rgb="FFFF0000"/>
      <name val="等线"/>
      <family val="2"/>
      <scheme val="minor"/>
    </font>
    <font>
      <b/>
      <sz val="48"/>
      <color theme="1"/>
      <name val="等线"/>
      <family val="2"/>
      <scheme val="minor"/>
    </font>
    <font>
      <sz val="48"/>
      <color theme="1"/>
      <name val="等线"/>
      <family val="2"/>
      <scheme val="minor"/>
    </font>
    <font>
      <b/>
      <sz val="48"/>
      <color theme="0"/>
      <name val="等线"/>
      <family val="2"/>
      <scheme val="minor"/>
    </font>
    <font>
      <sz val="48"/>
      <name val="等线"/>
      <family val="2"/>
      <scheme val="minor"/>
    </font>
    <font>
      <sz val="48"/>
      <color theme="7"/>
      <name val="等线"/>
      <family val="2"/>
      <scheme val="minor"/>
    </font>
    <font>
      <b/>
      <sz val="44"/>
      <color theme="0"/>
      <name val="等线"/>
      <family val="2"/>
      <scheme val="minor"/>
    </font>
    <font>
      <sz val="44"/>
      <name val="等线"/>
      <family val="2"/>
      <scheme val="minor"/>
    </font>
    <font>
      <sz val="44"/>
      <color rgb="FFFF0000"/>
      <name val="等线"/>
      <family val="2"/>
      <scheme val="minor"/>
    </font>
    <font>
      <b/>
      <sz val="44"/>
      <color rgb="FFFF0000"/>
      <name val="等线"/>
      <family val="2"/>
      <scheme val="minor"/>
    </font>
    <font>
      <b/>
      <sz val="44"/>
      <name val="等线"/>
      <family val="2"/>
      <scheme val="minor"/>
    </font>
    <font>
      <sz val="44"/>
      <color theme="1"/>
      <name val="等线"/>
      <family val="2"/>
      <scheme val="minor"/>
    </font>
    <font>
      <b/>
      <sz val="45"/>
      <color theme="0"/>
      <name val="等线"/>
      <family val="2"/>
      <scheme val="minor"/>
    </font>
    <font>
      <b/>
      <sz val="30"/>
      <color theme="2" tint="-0.749992370372631"/>
      <name val="等线"/>
      <family val="2"/>
      <scheme val="minor"/>
    </font>
    <font>
      <b/>
      <sz val="50"/>
      <color rgb="FFFF0000"/>
      <name val="等线"/>
      <family val="2"/>
      <scheme val="minor"/>
    </font>
    <font>
      <b/>
      <sz val="50"/>
      <color theme="1"/>
      <name val="等线"/>
      <family val="2"/>
      <scheme val="minor"/>
    </font>
    <font>
      <sz val="30"/>
      <color rgb="FFFF0000"/>
      <name val="等线"/>
      <family val="2"/>
      <scheme val="minor"/>
    </font>
    <font>
      <sz val="44"/>
      <color theme="0"/>
      <name val="等线"/>
      <family val="2"/>
      <scheme val="minor"/>
    </font>
    <font>
      <b/>
      <sz val="20"/>
      <color theme="0"/>
      <name val="等线"/>
      <family val="2"/>
      <scheme val="minor"/>
    </font>
    <font>
      <b/>
      <sz val="17"/>
      <color rgb="FFFF0000"/>
      <name val="等线"/>
      <family val="2"/>
      <scheme val="minor"/>
    </font>
    <font>
      <b/>
      <sz val="17"/>
      <color theme="1"/>
      <name val="等线"/>
      <family val="2"/>
      <scheme val="minor"/>
    </font>
    <font>
      <sz val="45"/>
      <name val="等线"/>
      <family val="2"/>
      <scheme val="minor"/>
    </font>
    <font>
      <u/>
      <sz val="11"/>
      <color theme="10"/>
      <name val="等线"/>
      <family val="2"/>
      <scheme val="minor"/>
    </font>
    <font>
      <u/>
      <sz val="30"/>
      <color theme="10"/>
      <name val="等线"/>
      <family val="2"/>
      <scheme val="minor"/>
    </font>
    <font>
      <b/>
      <sz val="48"/>
      <color rgb="FFFFFF00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Times New Roman"/>
      <family val="1"/>
    </font>
    <font>
      <b/>
      <sz val="22"/>
      <color theme="1"/>
      <name val="Times New Roman"/>
      <family val="1"/>
    </font>
  </fonts>
  <fills count="3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6D7FE"/>
        <bgColor indexed="64"/>
      </patternFill>
    </fill>
    <fill>
      <patternFill patternType="solid">
        <fgColor rgb="FFA5A5A5"/>
      </patternFill>
    </fill>
    <fill>
      <patternFill patternType="solid">
        <fgColor rgb="FFCEBAAF"/>
        <bgColor indexed="64"/>
      </patternFill>
    </fill>
    <fill>
      <patternFill patternType="solid">
        <fgColor rgb="FF5A5A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4787E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35336"/>
        <bgColor indexed="64"/>
      </patternFill>
    </fill>
    <fill>
      <patternFill patternType="solid">
        <fgColor rgb="FF5B693F"/>
        <bgColor indexed="64"/>
      </patternFill>
    </fill>
    <fill>
      <patternFill patternType="solid">
        <fgColor rgb="FF848437"/>
        <bgColor indexed="64"/>
      </patternFill>
    </fill>
    <fill>
      <patternFill patternType="solid">
        <fgColor rgb="FFE7E4D2"/>
        <bgColor indexed="64"/>
      </patternFill>
    </fill>
    <fill>
      <patternFill patternType="solid">
        <fgColor rgb="FFB49584"/>
        <bgColor indexed="64"/>
      </patternFill>
    </fill>
    <fill>
      <patternFill patternType="solid">
        <fgColor rgb="FF8391A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7C7A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549EA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9" borderId="5" applyNumberFormat="0" applyAlignment="0" applyProtection="0"/>
    <xf numFmtId="0" fontId="10" fillId="0" borderId="0">
      <alignment vertical="center" wrapText="1"/>
    </xf>
    <xf numFmtId="0" fontId="45" fillId="0" borderId="0" applyNumberFormat="0" applyFill="0" applyBorder="0" applyAlignment="0" applyProtection="0"/>
  </cellStyleXfs>
  <cellXfs count="385">
    <xf numFmtId="0" fontId="0" fillId="0" borderId="0" xfId="0"/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19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6" borderId="1" xfId="0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vertical="center"/>
    </xf>
    <xf numFmtId="0" fontId="16" fillId="6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top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18" fillId="6" borderId="1" xfId="0" applyFont="1" applyFill="1" applyBorder="1" applyAlignment="1">
      <alignment horizontal="left" vertical="center"/>
    </xf>
    <xf numFmtId="0" fontId="15" fillId="6" borderId="1" xfId="0" applyFont="1" applyFill="1" applyBorder="1" applyAlignment="1">
      <alignment horizontal="left" vertical="center"/>
    </xf>
    <xf numFmtId="0" fontId="18" fillId="0" borderId="1" xfId="4" applyFont="1" applyFill="1" applyBorder="1" applyAlignment="1">
      <alignment horizontal="left" vertical="center"/>
    </xf>
    <xf numFmtId="0" fontId="18" fillId="0" borderId="1" xfId="4" applyFont="1" applyFill="1" applyBorder="1" applyAlignment="1">
      <alignment horizontal="center" vertical="center"/>
    </xf>
    <xf numFmtId="0" fontId="15" fillId="0" borderId="1" xfId="4" applyFont="1" applyFill="1" applyBorder="1" applyAlignment="1">
      <alignment horizontal="left" vertical="center"/>
    </xf>
    <xf numFmtId="0" fontId="15" fillId="0" borderId="1" xfId="4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176" fontId="18" fillId="0" borderId="1" xfId="0" applyNumberFormat="1" applyFont="1" applyBorder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1" xfId="3" applyFont="1" applyFill="1" applyBorder="1" applyAlignment="1">
      <alignment horizontal="center" vertical="center"/>
    </xf>
    <xf numFmtId="0" fontId="15" fillId="0" borderId="1" xfId="3" applyFont="1" applyFill="1" applyBorder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14" fontId="17" fillId="0" borderId="1" xfId="0" applyNumberFormat="1" applyFont="1" applyBorder="1" applyAlignment="1">
      <alignment horizontal="center" vertical="center"/>
    </xf>
    <xf numFmtId="0" fontId="15" fillId="6" borderId="1" xfId="3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left" vertical="center"/>
    </xf>
    <xf numFmtId="0" fontId="15" fillId="6" borderId="9" xfId="0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 applyProtection="1">
      <alignment horizontal="center" vertical="center"/>
      <protection locked="0"/>
    </xf>
    <xf numFmtId="49" fontId="26" fillId="11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/>
    <xf numFmtId="0" fontId="28" fillId="12" borderId="0" xfId="0" applyFont="1" applyFill="1"/>
    <xf numFmtId="0" fontId="19" fillId="0" borderId="6" xfId="0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6" fillId="0" borderId="4" xfId="0" applyFont="1" applyBorder="1" applyAlignment="1">
      <alignment vertical="center"/>
    </xf>
    <xf numFmtId="0" fontId="13" fillId="10" borderId="4" xfId="1" applyFont="1" applyFill="1" applyBorder="1" applyAlignment="1">
      <alignment vertical="center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1" fontId="30" fillId="0" borderId="1" xfId="0" applyNumberFormat="1" applyFont="1" applyBorder="1" applyAlignment="1">
      <alignment horizontal="center" vertical="center"/>
    </xf>
    <xf numFmtId="0" fontId="34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vertical="center"/>
      <protection locked="0"/>
    </xf>
    <xf numFmtId="0" fontId="30" fillId="6" borderId="1" xfId="0" applyFont="1" applyFill="1" applyBorder="1" applyAlignment="1" applyProtection="1">
      <alignment horizontal="center" vertical="center"/>
      <protection locked="0"/>
    </xf>
    <xf numFmtId="0" fontId="30" fillId="0" borderId="6" xfId="0" applyFont="1" applyBorder="1" applyAlignment="1" applyProtection="1">
      <alignment horizontal="center" vertical="center"/>
      <protection locked="0"/>
    </xf>
    <xf numFmtId="0" fontId="30" fillId="0" borderId="6" xfId="0" applyFont="1" applyBorder="1" applyAlignment="1" applyProtection="1">
      <alignment horizontal="left" vertical="center" wrapText="1"/>
      <protection locked="0"/>
    </xf>
    <xf numFmtId="0" fontId="30" fillId="0" borderId="1" xfId="0" applyFont="1" applyBorder="1" applyAlignment="1" applyProtection="1">
      <alignment horizontal="center" vertical="center" wrapText="1"/>
      <protection locked="0"/>
    </xf>
    <xf numFmtId="0" fontId="30" fillId="0" borderId="1" xfId="0" applyFont="1" applyBorder="1" applyAlignment="1" applyProtection="1">
      <alignment horizontal="left" vertical="center" wrapText="1"/>
      <protection locked="0"/>
    </xf>
    <xf numFmtId="0" fontId="32" fillId="6" borderId="6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 vertical="center"/>
    </xf>
    <xf numFmtId="0" fontId="13" fillId="15" borderId="2" xfId="2" applyFont="1" applyFill="1" applyBorder="1" applyAlignment="1">
      <alignment horizontal="center" vertical="center"/>
    </xf>
    <xf numFmtId="0" fontId="13" fillId="16" borderId="1" xfId="1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/>
    </xf>
    <xf numFmtId="0" fontId="35" fillId="17" borderId="1" xfId="0" applyFont="1" applyFill="1" applyBorder="1" applyAlignment="1" applyProtection="1">
      <alignment horizontal="center" vertical="center"/>
      <protection locked="0"/>
    </xf>
    <xf numFmtId="0" fontId="29" fillId="19" borderId="1" xfId="0" applyFont="1" applyFill="1" applyBorder="1" applyAlignment="1" applyProtection="1">
      <alignment horizontal="center" vertical="center"/>
      <protection locked="0"/>
    </xf>
    <xf numFmtId="0" fontId="13" fillId="20" borderId="1" xfId="0" applyFont="1" applyFill="1" applyBorder="1" applyAlignment="1">
      <alignment horizontal="center" vertical="center"/>
    </xf>
    <xf numFmtId="0" fontId="13" fillId="21" borderId="1" xfId="0" applyFont="1" applyFill="1" applyBorder="1" applyAlignment="1">
      <alignment horizontal="center" vertical="center"/>
    </xf>
    <xf numFmtId="0" fontId="6" fillId="13" borderId="1" xfId="1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13" fillId="26" borderId="1" xfId="0" applyFont="1" applyFill="1" applyBorder="1" applyAlignment="1">
      <alignment horizontal="center" vertical="center"/>
    </xf>
    <xf numFmtId="0" fontId="13" fillId="26" borderId="9" xfId="0" applyFont="1" applyFill="1" applyBorder="1" applyAlignment="1">
      <alignment horizontal="center" vertical="center"/>
    </xf>
    <xf numFmtId="17" fontId="13" fillId="26" borderId="1" xfId="0" applyNumberFormat="1" applyFont="1" applyFill="1" applyBorder="1" applyAlignment="1">
      <alignment horizontal="center" vertical="center"/>
    </xf>
    <xf numFmtId="0" fontId="13" fillId="27" borderId="1" xfId="0" applyFont="1" applyFill="1" applyBorder="1" applyAlignment="1">
      <alignment horizontal="center" vertical="center"/>
    </xf>
    <xf numFmtId="0" fontId="13" fillId="27" borderId="9" xfId="0" applyFont="1" applyFill="1" applyBorder="1" applyAlignment="1">
      <alignment horizontal="center" vertical="center"/>
    </xf>
    <xf numFmtId="0" fontId="18" fillId="28" borderId="1" xfId="0" applyFont="1" applyFill="1" applyBorder="1" applyAlignment="1">
      <alignment horizontal="center" vertical="center"/>
    </xf>
    <xf numFmtId="0" fontId="18" fillId="28" borderId="1" xfId="0" applyFont="1" applyFill="1" applyBorder="1" applyAlignment="1">
      <alignment horizontal="left" vertical="center"/>
    </xf>
    <xf numFmtId="0" fontId="15" fillId="28" borderId="1" xfId="0" applyFont="1" applyFill="1" applyBorder="1" applyAlignment="1">
      <alignment horizontal="center" vertical="center"/>
    </xf>
    <xf numFmtId="0" fontId="18" fillId="28" borderId="2" xfId="0" applyFont="1" applyFill="1" applyBorder="1" applyAlignment="1">
      <alignment horizontal="left" vertical="center"/>
    </xf>
    <xf numFmtId="0" fontId="18" fillId="28" borderId="3" xfId="0" applyFont="1" applyFill="1" applyBorder="1" applyAlignment="1">
      <alignment horizontal="center" vertical="center"/>
    </xf>
    <xf numFmtId="0" fontId="18" fillId="28" borderId="4" xfId="0" applyFont="1" applyFill="1" applyBorder="1" applyAlignment="1">
      <alignment horizontal="center" vertical="center"/>
    </xf>
    <xf numFmtId="0" fontId="18" fillId="28" borderId="9" xfId="0" applyFont="1" applyFill="1" applyBorder="1" applyAlignment="1">
      <alignment horizontal="center" vertical="center"/>
    </xf>
    <xf numFmtId="0" fontId="18" fillId="28" borderId="9" xfId="0" applyFont="1" applyFill="1" applyBorder="1" applyAlignment="1">
      <alignment horizontal="left" vertical="center"/>
    </xf>
    <xf numFmtId="0" fontId="18" fillId="28" borderId="1" xfId="0" applyFont="1" applyFill="1" applyBorder="1" applyAlignment="1">
      <alignment horizontal="left" vertical="center" wrapText="1"/>
    </xf>
    <xf numFmtId="0" fontId="18" fillId="28" borderId="1" xfId="4" applyFont="1" applyFill="1" applyBorder="1" applyAlignment="1">
      <alignment horizontal="left" vertical="center"/>
    </xf>
    <xf numFmtId="0" fontId="18" fillId="28" borderId="1" xfId="4" applyFont="1" applyFill="1" applyBorder="1" applyAlignment="1">
      <alignment horizontal="center" vertical="center"/>
    </xf>
    <xf numFmtId="0" fontId="30" fillId="0" borderId="11" xfId="0" applyFont="1" applyBorder="1" applyAlignment="1" applyProtection="1">
      <alignment horizontal="center" vertical="center"/>
      <protection locked="0"/>
    </xf>
    <xf numFmtId="0" fontId="13" fillId="20" borderId="1" xfId="1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21" fillId="13" borderId="1" xfId="0" applyFont="1" applyFill="1" applyBorder="1" applyAlignment="1">
      <alignment horizontal="center" vertical="center"/>
    </xf>
    <xf numFmtId="49" fontId="26" fillId="13" borderId="1" xfId="1" applyNumberFormat="1" applyFont="1" applyFill="1" applyBorder="1" applyAlignment="1" applyProtection="1">
      <alignment horizontal="center" vertical="center" wrapText="1"/>
      <protection locked="0"/>
    </xf>
    <xf numFmtId="0" fontId="20" fillId="13" borderId="0" xfId="0" applyFont="1" applyFill="1" applyAlignment="1">
      <alignment horizontal="center" vertical="center"/>
    </xf>
    <xf numFmtId="0" fontId="26" fillId="13" borderId="2" xfId="0" applyFont="1" applyFill="1" applyBorder="1" applyAlignment="1" applyProtection="1">
      <alignment horizontal="center" vertical="center"/>
      <protection locked="0"/>
    </xf>
    <xf numFmtId="0" fontId="27" fillId="0" borderId="2" xfId="0" applyFont="1" applyBorder="1" applyAlignment="1" applyProtection="1">
      <alignment horizontal="center" vertical="center"/>
      <protection locked="0"/>
    </xf>
    <xf numFmtId="0" fontId="8" fillId="6" borderId="1" xfId="0" applyFont="1" applyFill="1" applyBorder="1" applyAlignment="1">
      <alignment horizontal="left" vertical="center"/>
    </xf>
    <xf numFmtId="0" fontId="17" fillId="28" borderId="1" xfId="0" applyFont="1" applyFill="1" applyBorder="1" applyAlignment="1">
      <alignment horizontal="center" vertical="center"/>
    </xf>
    <xf numFmtId="0" fontId="19" fillId="28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5" fillId="0" borderId="3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17" fontId="15" fillId="0" borderId="1" xfId="0" applyNumberFormat="1" applyFont="1" applyBorder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5" fillId="0" borderId="9" xfId="4" applyFont="1" applyFill="1" applyBorder="1" applyAlignment="1">
      <alignment horizontal="left" vertical="center"/>
    </xf>
    <xf numFmtId="0" fontId="15" fillId="0" borderId="9" xfId="4" applyFont="1" applyFill="1" applyBorder="1" applyAlignment="1">
      <alignment horizontal="center" vertical="center"/>
    </xf>
    <xf numFmtId="0" fontId="18" fillId="0" borderId="9" xfId="4" applyFont="1" applyFill="1" applyBorder="1" applyAlignment="1">
      <alignment horizontal="left" vertical="center"/>
    </xf>
    <xf numFmtId="0" fontId="18" fillId="0" borderId="9" xfId="4" applyFont="1" applyFill="1" applyBorder="1" applyAlignment="1">
      <alignment horizontal="center" vertical="center"/>
    </xf>
    <xf numFmtId="0" fontId="34" fillId="0" borderId="0" xfId="0" applyFont="1"/>
    <xf numFmtId="49" fontId="34" fillId="0" borderId="0" xfId="0" applyNumberFormat="1" applyFont="1"/>
    <xf numFmtId="0" fontId="34" fillId="0" borderId="0" xfId="0" applyFont="1" applyAlignment="1">
      <alignment horizontal="center"/>
    </xf>
    <xf numFmtId="0" fontId="40" fillId="13" borderId="0" xfId="0" applyFont="1" applyFill="1" applyAlignment="1">
      <alignment horizontal="center"/>
    </xf>
    <xf numFmtId="0" fontId="34" fillId="0" borderId="1" xfId="0" applyFont="1" applyBorder="1" applyAlignment="1">
      <alignment horizontal="center"/>
    </xf>
    <xf numFmtId="0" fontId="34" fillId="0" borderId="1" xfId="0" applyFont="1" applyBorder="1"/>
    <xf numFmtId="0" fontId="27" fillId="0" borderId="12" xfId="0" applyFont="1" applyBorder="1" applyAlignment="1" applyProtection="1">
      <alignment horizontal="center" vertical="center"/>
      <protection locked="0"/>
    </xf>
    <xf numFmtId="0" fontId="23" fillId="0" borderId="1" xfId="0" applyFont="1" applyBorder="1" applyAlignment="1" applyProtection="1">
      <alignment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7" fillId="0" borderId="10" xfId="0" applyFont="1" applyBorder="1" applyAlignment="1" applyProtection="1">
      <alignment horizontal="center" vertical="center"/>
      <protection locked="0"/>
    </xf>
    <xf numFmtId="0" fontId="34" fillId="0" borderId="0" xfId="0" applyFont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6" borderId="1" xfId="0" applyFont="1" applyFill="1" applyBorder="1" applyAlignment="1" applyProtection="1">
      <alignment horizontal="left" vertical="center"/>
      <protection locked="0"/>
    </xf>
    <xf numFmtId="0" fontId="13" fillId="23" borderId="1" xfId="1" applyFont="1" applyFill="1" applyBorder="1" applyAlignment="1">
      <alignment horizontal="center" vertical="center"/>
    </xf>
    <xf numFmtId="0" fontId="36" fillId="22" borderId="1" xfId="1" applyFont="1" applyFill="1" applyBorder="1" applyAlignment="1">
      <alignment horizontal="center" vertical="center"/>
    </xf>
    <xf numFmtId="0" fontId="13" fillId="32" borderId="6" xfId="0" applyFont="1" applyFill="1" applyBorder="1" applyAlignment="1">
      <alignment horizontal="center" vertical="center"/>
    </xf>
    <xf numFmtId="0" fontId="13" fillId="31" borderId="1" xfId="0" applyFont="1" applyFill="1" applyBorder="1" applyAlignment="1">
      <alignment horizontal="center" vertical="center"/>
    </xf>
    <xf numFmtId="0" fontId="41" fillId="0" borderId="1" xfId="0" applyFont="1" applyBorder="1" applyAlignment="1">
      <alignment vertical="center" wrapText="1"/>
    </xf>
    <xf numFmtId="16" fontId="8" fillId="6" borderId="1" xfId="0" applyNumberFormat="1" applyFont="1" applyFill="1" applyBorder="1" applyAlignment="1">
      <alignment horizontal="center" vertical="center"/>
    </xf>
    <xf numFmtId="0" fontId="41" fillId="6" borderId="6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left" vertical="center"/>
    </xf>
    <xf numFmtId="0" fontId="8" fillId="0" borderId="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14" fontId="43" fillId="0" borderId="1" xfId="0" applyNumberFormat="1" applyFont="1" applyBorder="1" applyAlignment="1">
      <alignment horizontal="center" vertical="center"/>
    </xf>
    <xf numFmtId="0" fontId="32" fillId="6" borderId="1" xfId="0" applyFont="1" applyFill="1" applyBorder="1" applyAlignment="1" applyProtection="1">
      <alignment horizontal="center" vertical="center" wrapText="1"/>
      <protection locked="0"/>
    </xf>
    <xf numFmtId="0" fontId="33" fillId="6" borderId="1" xfId="0" applyFont="1" applyFill="1" applyBorder="1" applyAlignment="1">
      <alignment horizontal="left" vertical="center"/>
    </xf>
    <xf numFmtId="0" fontId="30" fillId="6" borderId="1" xfId="0" applyFont="1" applyFill="1" applyBorder="1" applyAlignment="1">
      <alignment horizontal="center" vertical="center"/>
    </xf>
    <xf numFmtId="0" fontId="13" fillId="33" borderId="1" xfId="0" applyFont="1" applyFill="1" applyBorder="1" applyAlignment="1">
      <alignment horizontal="center" vertical="center"/>
    </xf>
    <xf numFmtId="0" fontId="13" fillId="27" borderId="1" xfId="1" applyFont="1" applyFill="1" applyBorder="1" applyAlignment="1">
      <alignment horizontal="center" vertical="center"/>
    </xf>
    <xf numFmtId="0" fontId="30" fillId="6" borderId="9" xfId="0" applyFont="1" applyFill="1" applyBorder="1" applyAlignment="1">
      <alignment horizontal="center" vertical="center"/>
    </xf>
    <xf numFmtId="1" fontId="18" fillId="0" borderId="1" xfId="0" applyNumberFormat="1" applyFont="1" applyBorder="1" applyAlignment="1">
      <alignment horizontal="center" vertical="center"/>
    </xf>
    <xf numFmtId="0" fontId="44" fillId="0" borderId="9" xfId="1" applyFont="1" applyFill="1" applyBorder="1" applyAlignment="1" applyProtection="1">
      <alignment horizontal="center" vertical="center" wrapText="1"/>
      <protection locked="0"/>
    </xf>
    <xf numFmtId="0" fontId="30" fillId="0" borderId="1" xfId="0" applyFont="1" applyBorder="1"/>
    <xf numFmtId="0" fontId="41" fillId="6" borderId="1" xfId="0" applyFont="1" applyFill="1" applyBorder="1" applyAlignment="1">
      <alignment vertical="center" wrapText="1"/>
    </xf>
    <xf numFmtId="0" fontId="8" fillId="6" borderId="0" xfId="0" applyFont="1" applyFill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left" vertical="center"/>
    </xf>
    <xf numFmtId="0" fontId="33" fillId="0" borderId="1" xfId="0" applyFont="1" applyBorder="1" applyAlignment="1" applyProtection="1">
      <alignment vertical="center"/>
      <protection locked="0"/>
    </xf>
    <xf numFmtId="1" fontId="44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44" fillId="0" borderId="1" xfId="1" applyFont="1" applyFill="1" applyBorder="1" applyAlignment="1" applyProtection="1">
      <alignment horizontal="center" vertical="center" wrapText="1"/>
      <protection locked="0"/>
    </xf>
    <xf numFmtId="0" fontId="30" fillId="6" borderId="1" xfId="0" applyFont="1" applyFill="1" applyBorder="1" applyAlignment="1">
      <alignment horizontal="left" vertical="center"/>
    </xf>
    <xf numFmtId="0" fontId="30" fillId="5" borderId="1" xfId="0" applyFont="1" applyFill="1" applyBorder="1" applyAlignment="1" applyProtection="1">
      <alignment horizontal="center" vertical="center"/>
      <protection locked="0"/>
    </xf>
    <xf numFmtId="0" fontId="35" fillId="17" borderId="6" xfId="1" applyFont="1" applyFill="1" applyBorder="1" applyAlignment="1" applyProtection="1">
      <alignment horizontal="center" vertical="center" wrapText="1"/>
      <protection locked="0"/>
    </xf>
    <xf numFmtId="0" fontId="29" fillId="18" borderId="1" xfId="0" applyFont="1" applyFill="1" applyBorder="1" applyAlignment="1" applyProtection="1">
      <alignment horizontal="center" vertical="center"/>
      <protection locked="0"/>
    </xf>
    <xf numFmtId="0" fontId="44" fillId="0" borderId="1" xfId="1" quotePrefix="1" applyFont="1" applyFill="1" applyBorder="1" applyAlignment="1" applyProtection="1">
      <alignment horizontal="center" vertical="center" wrapText="1"/>
      <protection locked="0"/>
    </xf>
    <xf numFmtId="14" fontId="38" fillId="0" borderId="1" xfId="0" applyNumberFormat="1" applyFont="1" applyBorder="1" applyAlignment="1">
      <alignment horizontal="center" vertical="center"/>
    </xf>
    <xf numFmtId="49" fontId="47" fillId="11" borderId="1" xfId="0" applyNumberFormat="1" applyFont="1" applyFill="1" applyBorder="1" applyAlignment="1" applyProtection="1">
      <alignment horizontal="center" vertical="center"/>
      <protection locked="0"/>
    </xf>
    <xf numFmtId="0" fontId="30" fillId="30" borderId="1" xfId="0" applyFont="1" applyFill="1" applyBorder="1" applyAlignment="1" applyProtection="1">
      <alignment horizontal="center" vertical="center"/>
      <protection locked="0"/>
    </xf>
    <xf numFmtId="0" fontId="30" fillId="30" borderId="1" xfId="0" applyFont="1" applyFill="1" applyBorder="1" applyAlignment="1" applyProtection="1">
      <alignment horizontal="left" vertical="center" wrapText="1"/>
      <protection locked="0"/>
    </xf>
    <xf numFmtId="1" fontId="30" fillId="30" borderId="1" xfId="0" applyNumberFormat="1" applyFont="1" applyFill="1" applyBorder="1" applyAlignment="1">
      <alignment horizontal="center" vertical="center"/>
    </xf>
    <xf numFmtId="0" fontId="33" fillId="30" borderId="1" xfId="0" applyFont="1" applyFill="1" applyBorder="1" applyAlignment="1" applyProtection="1">
      <alignment horizontal="left" vertical="center" wrapText="1"/>
      <protection locked="0"/>
    </xf>
    <xf numFmtId="0" fontId="44" fillId="30" borderId="1" xfId="1" applyFont="1" applyFill="1" applyBorder="1" applyAlignment="1" applyProtection="1">
      <alignment horizontal="center" vertical="center" wrapText="1"/>
      <protection locked="0"/>
    </xf>
    <xf numFmtId="0" fontId="15" fillId="30" borderId="1" xfId="0" applyFont="1" applyFill="1" applyBorder="1" applyAlignment="1">
      <alignment horizontal="center" vertical="center"/>
    </xf>
    <xf numFmtId="0" fontId="30" fillId="30" borderId="1" xfId="0" applyFont="1" applyFill="1" applyBorder="1" applyAlignment="1">
      <alignment horizontal="center" vertical="center"/>
    </xf>
    <xf numFmtId="0" fontId="33" fillId="30" borderId="1" xfId="0" applyFont="1" applyFill="1" applyBorder="1" applyAlignment="1">
      <alignment horizontal="left" vertical="center"/>
    </xf>
    <xf numFmtId="0" fontId="30" fillId="30" borderId="1" xfId="0" applyFont="1" applyFill="1" applyBorder="1" applyAlignment="1" applyProtection="1">
      <alignment horizontal="center" vertical="center" wrapText="1"/>
      <protection locked="0"/>
    </xf>
    <xf numFmtId="177" fontId="30" fillId="30" borderId="1" xfId="0" applyNumberFormat="1" applyFont="1" applyFill="1" applyBorder="1" applyAlignment="1">
      <alignment horizontal="center" vertical="center"/>
    </xf>
    <xf numFmtId="0" fontId="30" fillId="30" borderId="6" xfId="0" applyFont="1" applyFill="1" applyBorder="1" applyAlignment="1">
      <alignment horizontal="center" vertical="center"/>
    </xf>
    <xf numFmtId="0" fontId="33" fillId="30" borderId="6" xfId="0" applyFont="1" applyFill="1" applyBorder="1" applyAlignment="1">
      <alignment horizontal="left" vertical="center"/>
    </xf>
    <xf numFmtId="0" fontId="33" fillId="30" borderId="6" xfId="0" applyFont="1" applyFill="1" applyBorder="1" applyAlignment="1" applyProtection="1">
      <alignment horizontal="left" vertical="center" wrapText="1"/>
      <protection locked="0"/>
    </xf>
    <xf numFmtId="0" fontId="30" fillId="30" borderId="6" xfId="0" applyFont="1" applyFill="1" applyBorder="1" applyAlignment="1" applyProtection="1">
      <alignment horizontal="center" vertical="center"/>
      <protection locked="0"/>
    </xf>
    <xf numFmtId="0" fontId="33" fillId="30" borderId="1" xfId="0" applyFont="1" applyFill="1" applyBorder="1" applyAlignment="1" applyProtection="1">
      <alignment horizontal="center" vertical="center"/>
      <protection locked="0"/>
    </xf>
    <xf numFmtId="0" fontId="31" fillId="30" borderId="1" xfId="0" applyFont="1" applyFill="1" applyBorder="1" applyAlignment="1" applyProtection="1">
      <alignment horizontal="center" vertical="center"/>
      <protection locked="0"/>
    </xf>
    <xf numFmtId="0" fontId="33" fillId="30" borderId="1" xfId="0" applyFont="1" applyFill="1" applyBorder="1" applyAlignment="1" applyProtection="1">
      <alignment horizontal="left" vertical="center"/>
      <protection locked="0"/>
    </xf>
    <xf numFmtId="0" fontId="33" fillId="30" borderId="1" xfId="0" applyFont="1" applyFill="1" applyBorder="1" applyAlignment="1">
      <alignment horizontal="center" vertical="center"/>
    </xf>
    <xf numFmtId="0" fontId="33" fillId="30" borderId="1" xfId="0" applyFont="1" applyFill="1" applyBorder="1"/>
    <xf numFmtId="0" fontId="34" fillId="30" borderId="1" xfId="0" applyFont="1" applyFill="1" applyBorder="1" applyAlignment="1">
      <alignment horizontal="center"/>
    </xf>
    <xf numFmtId="0" fontId="29" fillId="31" borderId="1" xfId="0" applyFont="1" applyFill="1" applyBorder="1" applyAlignment="1" applyProtection="1">
      <alignment horizontal="center" vertical="center"/>
      <protection locked="0"/>
    </xf>
    <xf numFmtId="0" fontId="29" fillId="31" borderId="2" xfId="0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 vertical="center"/>
    </xf>
    <xf numFmtId="0" fontId="13" fillId="24" borderId="6" xfId="0" applyFont="1" applyFill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13" fillId="0" borderId="14" xfId="0" applyFont="1" applyBorder="1" applyAlignment="1">
      <alignment horizontal="center" vertical="center"/>
    </xf>
    <xf numFmtId="177" fontId="15" fillId="0" borderId="1" xfId="0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34" borderId="1" xfId="0" applyFont="1" applyFill="1" applyBorder="1" applyAlignment="1">
      <alignment vertical="center"/>
    </xf>
    <xf numFmtId="0" fontId="31" fillId="0" borderId="6" xfId="0" applyFont="1" applyBorder="1" applyAlignment="1" applyProtection="1">
      <alignment horizontal="center" vertical="center"/>
      <protection locked="0"/>
    </xf>
    <xf numFmtId="1" fontId="30" fillId="0" borderId="6" xfId="0" applyNumberFormat="1" applyFont="1" applyBorder="1" applyAlignment="1">
      <alignment horizontal="center" vertical="center"/>
    </xf>
    <xf numFmtId="0" fontId="33" fillId="30" borderId="6" xfId="0" applyFont="1" applyFill="1" applyBorder="1" applyAlignment="1">
      <alignment horizontal="center" vertical="center"/>
    </xf>
    <xf numFmtId="0" fontId="33" fillId="30" borderId="1" xfId="0" applyFont="1" applyFill="1" applyBorder="1" applyAlignment="1" applyProtection="1">
      <alignment horizontal="center" vertical="center" wrapText="1"/>
      <protection locked="0"/>
    </xf>
    <xf numFmtId="0" fontId="15" fillId="0" borderId="2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3" fillId="32" borderId="1" xfId="0" applyFont="1" applyFill="1" applyBorder="1" applyAlignment="1">
      <alignment horizontal="center" vertical="center"/>
    </xf>
    <xf numFmtId="0" fontId="13" fillId="32" borderId="1" xfId="0" applyFont="1" applyFill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6" fillId="13" borderId="6" xfId="1" applyFont="1" applyFill="1" applyBorder="1" applyAlignment="1">
      <alignment horizontal="center" vertical="center"/>
    </xf>
    <xf numFmtId="0" fontId="6" fillId="25" borderId="6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" fontId="8" fillId="6" borderId="6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49" fontId="23" fillId="11" borderId="1" xfId="0" applyNumberFormat="1" applyFont="1" applyFill="1" applyBorder="1" applyAlignment="1" applyProtection="1">
      <alignment horizontal="center" vertical="center"/>
      <protection locked="0"/>
    </xf>
    <xf numFmtId="0" fontId="26" fillId="13" borderId="12" xfId="0" applyFont="1" applyFill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17" fontId="13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7" fillId="29" borderId="10" xfId="0" applyFont="1" applyFill="1" applyBorder="1" applyAlignment="1">
      <alignment horizontal="center" vertical="center" wrapText="1"/>
    </xf>
    <xf numFmtId="0" fontId="17" fillId="29" borderId="15" xfId="0" applyFont="1" applyFill="1" applyBorder="1" applyAlignment="1">
      <alignment horizontal="center" vertical="center"/>
    </xf>
    <xf numFmtId="0" fontId="17" fillId="29" borderId="11" xfId="0" applyFont="1" applyFill="1" applyBorder="1" applyAlignment="1">
      <alignment horizontal="center" vertical="center"/>
    </xf>
    <xf numFmtId="0" fontId="17" fillId="29" borderId="7" xfId="0" applyFont="1" applyFill="1" applyBorder="1" applyAlignment="1">
      <alignment horizontal="center" vertical="center"/>
    </xf>
    <xf numFmtId="0" fontId="17" fillId="29" borderId="0" xfId="0" applyFont="1" applyFill="1" applyAlignment="1">
      <alignment horizontal="center" vertical="center"/>
    </xf>
    <xf numFmtId="0" fontId="17" fillId="29" borderId="8" xfId="0" applyFont="1" applyFill="1" applyBorder="1" applyAlignment="1">
      <alignment horizontal="center" vertical="center"/>
    </xf>
    <xf numFmtId="0" fontId="17" fillId="29" borderId="12" xfId="0" applyFont="1" applyFill="1" applyBorder="1" applyAlignment="1">
      <alignment horizontal="center" vertical="center"/>
    </xf>
    <xf numFmtId="0" fontId="17" fillId="29" borderId="16" xfId="0" applyFont="1" applyFill="1" applyBorder="1" applyAlignment="1">
      <alignment horizontal="center" vertical="center"/>
    </xf>
    <xf numFmtId="0" fontId="17" fillId="29" borderId="13" xfId="0" applyFont="1" applyFill="1" applyBorder="1" applyAlignment="1">
      <alignment horizontal="center" vertical="center"/>
    </xf>
    <xf numFmtId="0" fontId="13" fillId="24" borderId="6" xfId="0" applyFont="1" applyFill="1" applyBorder="1" applyAlignment="1">
      <alignment horizontal="center" vertical="center"/>
    </xf>
    <xf numFmtId="0" fontId="13" fillId="24" borderId="14" xfId="0" applyFont="1" applyFill="1" applyBorder="1" applyAlignment="1">
      <alignment horizontal="center" vertical="center"/>
    </xf>
    <xf numFmtId="0" fontId="13" fillId="24" borderId="9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78" fontId="17" fillId="0" borderId="2" xfId="0" applyNumberFormat="1" applyFont="1" applyBorder="1" applyAlignment="1">
      <alignment horizontal="center" vertical="center"/>
    </xf>
    <xf numFmtId="178" fontId="17" fillId="0" borderId="4" xfId="0" applyNumberFormat="1" applyFont="1" applyBorder="1" applyAlignment="1">
      <alignment horizontal="center" vertical="center"/>
    </xf>
    <xf numFmtId="178" fontId="17" fillId="0" borderId="3" xfId="0" applyNumberFormat="1" applyFont="1" applyBorder="1" applyAlignment="1">
      <alignment horizontal="center" vertical="center"/>
    </xf>
    <xf numFmtId="0" fontId="17" fillId="30" borderId="2" xfId="0" applyFont="1" applyFill="1" applyBorder="1" applyAlignment="1">
      <alignment horizontal="center" vertical="center"/>
    </xf>
    <xf numFmtId="0" fontId="17" fillId="30" borderId="4" xfId="0" applyFont="1" applyFill="1" applyBorder="1" applyAlignment="1">
      <alignment horizontal="center" vertical="center"/>
    </xf>
    <xf numFmtId="0" fontId="17" fillId="30" borderId="3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18" fillId="5" borderId="9" xfId="0" applyFont="1" applyFill="1" applyBorder="1" applyAlignment="1">
      <alignment horizontal="center" vertical="center" wrapText="1"/>
    </xf>
    <xf numFmtId="0" fontId="18" fillId="25" borderId="6" xfId="0" applyFont="1" applyFill="1" applyBorder="1" applyAlignment="1">
      <alignment horizontal="center" vertical="center" wrapText="1"/>
    </xf>
    <xf numFmtId="0" fontId="18" fillId="25" borderId="14" xfId="0" applyFont="1" applyFill="1" applyBorder="1" applyAlignment="1">
      <alignment horizontal="center" vertical="center" wrapText="1"/>
    </xf>
    <xf numFmtId="0" fontId="18" fillId="25" borderId="9" xfId="0" applyFont="1" applyFill="1" applyBorder="1" applyAlignment="1">
      <alignment horizontal="center" vertical="center" wrapText="1"/>
    </xf>
    <xf numFmtId="0" fontId="18" fillId="7" borderId="6" xfId="0" applyFont="1" applyFill="1" applyBorder="1" applyAlignment="1">
      <alignment horizontal="center" vertical="center" wrapText="1"/>
    </xf>
    <xf numFmtId="0" fontId="18" fillId="7" borderId="14" xfId="0" applyFont="1" applyFill="1" applyBorder="1" applyAlignment="1">
      <alignment horizontal="center" vertical="center" wrapText="1"/>
    </xf>
    <xf numFmtId="0" fontId="18" fillId="7" borderId="9" xfId="0" applyFont="1" applyFill="1" applyBorder="1" applyAlignment="1">
      <alignment horizontal="center" vertical="center" wrapText="1"/>
    </xf>
    <xf numFmtId="0" fontId="42" fillId="0" borderId="10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6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/>
    </xf>
    <xf numFmtId="14" fontId="43" fillId="0" borderId="10" xfId="0" applyNumberFormat="1" applyFont="1" applyBorder="1" applyAlignment="1">
      <alignment horizontal="center" vertical="center"/>
    </xf>
    <xf numFmtId="14" fontId="43" fillId="0" borderId="11" xfId="0" applyNumberFormat="1" applyFont="1" applyBorder="1" applyAlignment="1">
      <alignment horizontal="center" vertical="center"/>
    </xf>
    <xf numFmtId="14" fontId="43" fillId="0" borderId="12" xfId="0" applyNumberFormat="1" applyFont="1" applyBorder="1" applyAlignment="1">
      <alignment horizontal="center" vertical="center"/>
    </xf>
    <xf numFmtId="14" fontId="43" fillId="0" borderId="13" xfId="0" applyNumberFormat="1" applyFont="1" applyBorder="1" applyAlignment="1">
      <alignment horizontal="center" vertical="center"/>
    </xf>
    <xf numFmtId="0" fontId="6" fillId="13" borderId="6" xfId="1" applyFont="1" applyFill="1" applyBorder="1" applyAlignment="1">
      <alignment horizontal="center" vertical="center" wrapText="1"/>
    </xf>
    <xf numFmtId="0" fontId="6" fillId="13" borderId="14" xfId="1" applyFont="1" applyFill="1" applyBorder="1" applyAlignment="1">
      <alignment horizontal="center" vertical="center" wrapText="1"/>
    </xf>
    <xf numFmtId="0" fontId="6" fillId="13" borderId="9" xfId="1" applyFont="1" applyFill="1" applyBorder="1" applyAlignment="1">
      <alignment horizontal="center" vertical="center" wrapText="1"/>
    </xf>
    <xf numFmtId="0" fontId="6" fillId="25" borderId="6" xfId="0" applyFont="1" applyFill="1" applyBorder="1" applyAlignment="1">
      <alignment horizontal="center" vertical="center" wrapText="1"/>
    </xf>
    <xf numFmtId="0" fontId="6" fillId="25" borderId="14" xfId="0" applyFont="1" applyFill="1" applyBorder="1" applyAlignment="1">
      <alignment horizontal="center" vertical="center" wrapText="1"/>
    </xf>
    <xf numFmtId="0" fontId="6" fillId="25" borderId="9" xfId="0" applyFont="1" applyFill="1" applyBorder="1" applyAlignment="1">
      <alignment horizontal="center" vertical="center" wrapText="1"/>
    </xf>
    <xf numFmtId="14" fontId="18" fillId="0" borderId="1" xfId="0" applyNumberFormat="1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3" fillId="14" borderId="2" xfId="1" applyFont="1" applyFill="1" applyBorder="1" applyAlignment="1">
      <alignment horizontal="center" vertical="center"/>
    </xf>
    <xf numFmtId="0" fontId="13" fillId="14" borderId="4" xfId="1" applyFont="1" applyFill="1" applyBorder="1" applyAlignment="1">
      <alignment horizontal="center" vertical="center"/>
    </xf>
    <xf numFmtId="0" fontId="13" fillId="14" borderId="3" xfId="1" applyFont="1" applyFill="1" applyBorder="1" applyAlignment="1">
      <alignment horizontal="center" vertical="center"/>
    </xf>
    <xf numFmtId="0" fontId="13" fillId="14" borderId="1" xfId="1" applyFont="1" applyFill="1" applyBorder="1" applyAlignment="1">
      <alignment horizontal="center" vertical="center"/>
    </xf>
    <xf numFmtId="0" fontId="13" fillId="34" borderId="2" xfId="0" applyFont="1" applyFill="1" applyBorder="1" applyAlignment="1">
      <alignment vertical="center"/>
    </xf>
    <xf numFmtId="0" fontId="13" fillId="34" borderId="3" xfId="0" applyFont="1" applyFill="1" applyBorder="1" applyAlignment="1">
      <alignment vertical="center"/>
    </xf>
    <xf numFmtId="14" fontId="17" fillId="0" borderId="1" xfId="0" applyNumberFormat="1" applyFont="1" applyBorder="1" applyAlignment="1">
      <alignment horizontal="center" vertical="center"/>
    </xf>
    <xf numFmtId="0" fontId="13" fillId="26" borderId="12" xfId="0" applyFont="1" applyFill="1" applyBorder="1" applyAlignment="1">
      <alignment horizontal="center" vertical="center"/>
    </xf>
    <xf numFmtId="0" fontId="13" fillId="26" borderId="16" xfId="0" applyFont="1" applyFill="1" applyBorder="1" applyAlignment="1">
      <alignment horizontal="center" vertical="center"/>
    </xf>
    <xf numFmtId="0" fontId="13" fillId="26" borderId="13" xfId="0" applyFont="1" applyFill="1" applyBorder="1" applyAlignment="1">
      <alignment horizontal="center" vertical="center"/>
    </xf>
    <xf numFmtId="0" fontId="13" fillId="26" borderId="2" xfId="0" applyFont="1" applyFill="1" applyBorder="1" applyAlignment="1">
      <alignment horizontal="center" vertical="center"/>
    </xf>
    <xf numFmtId="0" fontId="13" fillId="26" borderId="4" xfId="0" applyFont="1" applyFill="1" applyBorder="1" applyAlignment="1">
      <alignment horizontal="center" vertical="center"/>
    </xf>
    <xf numFmtId="0" fontId="13" fillId="26" borderId="3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/>
    </xf>
    <xf numFmtId="0" fontId="13" fillId="16" borderId="10" xfId="1" applyFont="1" applyFill="1" applyBorder="1" applyAlignment="1">
      <alignment horizontal="center" vertical="center"/>
    </xf>
    <xf numFmtId="0" fontId="13" fillId="16" borderId="11" xfId="1" applyFont="1" applyFill="1" applyBorder="1" applyAlignment="1">
      <alignment horizontal="center" vertical="center"/>
    </xf>
    <xf numFmtId="0" fontId="13" fillId="16" borderId="7" xfId="1" applyFont="1" applyFill="1" applyBorder="1" applyAlignment="1">
      <alignment horizontal="center" vertical="center"/>
    </xf>
    <xf numFmtId="0" fontId="13" fillId="16" borderId="8" xfId="1" applyFont="1" applyFill="1" applyBorder="1" applyAlignment="1">
      <alignment horizontal="center" vertical="center"/>
    </xf>
    <xf numFmtId="0" fontId="13" fillId="16" borderId="12" xfId="1" applyFont="1" applyFill="1" applyBorder="1" applyAlignment="1">
      <alignment horizontal="center" vertical="center"/>
    </xf>
    <xf numFmtId="0" fontId="13" fillId="16" borderId="13" xfId="1" applyFont="1" applyFill="1" applyBorder="1" applyAlignment="1">
      <alignment horizontal="center" vertical="center"/>
    </xf>
    <xf numFmtId="0" fontId="35" fillId="17" borderId="6" xfId="1" applyFont="1" applyFill="1" applyBorder="1" applyAlignment="1" applyProtection="1">
      <alignment horizontal="center" vertical="center" wrapText="1"/>
      <protection locked="0"/>
    </xf>
    <xf numFmtId="0" fontId="35" fillId="17" borderId="14" xfId="1" applyFont="1" applyFill="1" applyBorder="1" applyAlignment="1" applyProtection="1">
      <alignment horizontal="center" vertical="center" wrapText="1"/>
      <protection locked="0"/>
    </xf>
    <xf numFmtId="14" fontId="38" fillId="0" borderId="10" xfId="0" applyNumberFormat="1" applyFont="1" applyBorder="1" applyAlignment="1" applyProtection="1">
      <alignment horizontal="center" vertical="center"/>
      <protection locked="0"/>
    </xf>
    <xf numFmtId="14" fontId="38" fillId="0" borderId="15" xfId="0" applyNumberFormat="1" applyFont="1" applyBorder="1" applyAlignment="1" applyProtection="1">
      <alignment horizontal="center" vertical="center"/>
      <protection locked="0"/>
    </xf>
    <xf numFmtId="14" fontId="38" fillId="0" borderId="11" xfId="0" applyNumberFormat="1" applyFont="1" applyBorder="1" applyAlignment="1" applyProtection="1">
      <alignment horizontal="center" vertical="center"/>
      <protection locked="0"/>
    </xf>
    <xf numFmtId="14" fontId="38" fillId="0" borderId="12" xfId="0" applyNumberFormat="1" applyFont="1" applyBorder="1" applyAlignment="1" applyProtection="1">
      <alignment horizontal="center" vertical="center"/>
      <protection locked="0"/>
    </xf>
    <xf numFmtId="14" fontId="38" fillId="0" borderId="16" xfId="0" applyNumberFormat="1" applyFont="1" applyBorder="1" applyAlignment="1" applyProtection="1">
      <alignment horizontal="center" vertical="center"/>
      <protection locked="0"/>
    </xf>
    <xf numFmtId="14" fontId="38" fillId="0" borderId="13" xfId="0" applyNumberFormat="1" applyFont="1" applyBorder="1" applyAlignment="1" applyProtection="1">
      <alignment horizontal="center" vertical="center"/>
      <protection locked="0"/>
    </xf>
    <xf numFmtId="0" fontId="37" fillId="0" borderId="10" xfId="0" applyFont="1" applyBorder="1" applyAlignment="1" applyProtection="1">
      <alignment horizontal="center" vertical="center" wrapText="1"/>
      <protection locked="0"/>
    </xf>
    <xf numFmtId="0" fontId="37" fillId="0" borderId="15" xfId="0" applyFont="1" applyBorder="1" applyAlignment="1" applyProtection="1">
      <alignment horizontal="center" vertical="center" wrapText="1"/>
      <protection locked="0"/>
    </xf>
    <xf numFmtId="0" fontId="37" fillId="0" borderId="11" xfId="0" applyFont="1" applyBorder="1" applyAlignment="1" applyProtection="1">
      <alignment horizontal="center" vertical="center" wrapText="1"/>
      <protection locked="0"/>
    </xf>
    <xf numFmtId="0" fontId="37" fillId="0" borderId="12" xfId="0" applyFont="1" applyBorder="1" applyAlignment="1" applyProtection="1">
      <alignment horizontal="center" vertical="center" wrapText="1"/>
      <protection locked="0"/>
    </xf>
    <xf numFmtId="0" fontId="37" fillId="0" borderId="16" xfId="0" applyFont="1" applyBorder="1" applyAlignment="1" applyProtection="1">
      <alignment horizontal="center" vertical="center" wrapText="1"/>
      <protection locked="0"/>
    </xf>
    <xf numFmtId="0" fontId="37" fillId="0" borderId="13" xfId="0" applyFont="1" applyBorder="1" applyAlignment="1" applyProtection="1">
      <alignment horizontal="center" vertical="center" wrapText="1"/>
      <protection locked="0"/>
    </xf>
    <xf numFmtId="0" fontId="38" fillId="0" borderId="6" xfId="0" applyFont="1" applyBorder="1" applyAlignment="1" applyProtection="1">
      <alignment horizontal="center" vertical="center"/>
      <protection locked="0"/>
    </xf>
    <xf numFmtId="0" fontId="38" fillId="0" borderId="9" xfId="0" applyFont="1" applyBorder="1" applyAlignment="1" applyProtection="1">
      <alignment horizontal="center" vertical="center"/>
      <protection locked="0"/>
    </xf>
    <xf numFmtId="17" fontId="18" fillId="26" borderId="1" xfId="0" applyNumberFormat="1" applyFont="1" applyFill="1" applyBorder="1" applyAlignment="1">
      <alignment horizontal="center" vertical="center" wrapText="1"/>
    </xf>
    <xf numFmtId="0" fontId="29" fillId="31" borderId="1" xfId="0" applyFont="1" applyFill="1" applyBorder="1" applyAlignment="1" applyProtection="1">
      <alignment horizontal="center" vertical="center"/>
      <protection locked="0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17" fontId="18" fillId="0" borderId="1" xfId="0" applyNumberFormat="1" applyFont="1" applyBorder="1" applyAlignment="1">
      <alignment horizontal="center" vertical="center" wrapText="1"/>
    </xf>
    <xf numFmtId="0" fontId="29" fillId="31" borderId="2" xfId="0" applyFont="1" applyFill="1" applyBorder="1" applyAlignment="1" applyProtection="1">
      <alignment horizontal="center" vertical="center"/>
      <protection locked="0"/>
    </xf>
    <xf numFmtId="0" fontId="29" fillId="31" borderId="4" xfId="0" applyFont="1" applyFill="1" applyBorder="1" applyAlignment="1" applyProtection="1">
      <alignment horizontal="center" vertical="center"/>
      <protection locked="0"/>
    </xf>
    <xf numFmtId="0" fontId="29" fillId="31" borderId="3" xfId="0" applyFont="1" applyFill="1" applyBorder="1" applyAlignment="1" applyProtection="1">
      <alignment horizontal="center" vertical="center"/>
      <protection locked="0"/>
    </xf>
    <xf numFmtId="0" fontId="29" fillId="19" borderId="2" xfId="0" applyFont="1" applyFill="1" applyBorder="1" applyAlignment="1" applyProtection="1">
      <alignment horizontal="center" vertical="center"/>
      <protection locked="0"/>
    </xf>
    <xf numFmtId="0" fontId="29" fillId="19" borderId="4" xfId="0" applyFont="1" applyFill="1" applyBorder="1" applyAlignment="1" applyProtection="1">
      <alignment horizontal="center" vertical="center"/>
      <protection locked="0"/>
    </xf>
    <xf numFmtId="0" fontId="29" fillId="19" borderId="3" xfId="0" applyFont="1" applyFill="1" applyBorder="1" applyAlignment="1" applyProtection="1">
      <alignment horizontal="center" vertical="center"/>
      <protection locked="0"/>
    </xf>
    <xf numFmtId="0" fontId="29" fillId="18" borderId="2" xfId="0" applyFont="1" applyFill="1" applyBorder="1" applyAlignment="1" applyProtection="1">
      <alignment horizontal="center" vertical="center"/>
      <protection locked="0"/>
    </xf>
    <xf numFmtId="0" fontId="29" fillId="18" borderId="4" xfId="0" applyFont="1" applyFill="1" applyBorder="1" applyAlignment="1" applyProtection="1">
      <alignment horizontal="center" vertical="center"/>
      <protection locked="0"/>
    </xf>
    <xf numFmtId="0" fontId="29" fillId="18" borderId="3" xfId="0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vertical="center"/>
    </xf>
    <xf numFmtId="0" fontId="13" fillId="21" borderId="1" xfId="0" applyFont="1" applyFill="1" applyBorder="1" applyAlignment="1">
      <alignment horizontal="center" vertical="center"/>
    </xf>
    <xf numFmtId="0" fontId="13" fillId="23" borderId="2" xfId="1" applyFont="1" applyFill="1" applyBorder="1" applyAlignment="1">
      <alignment horizontal="center" vertical="center"/>
    </xf>
    <xf numFmtId="0" fontId="13" fillId="23" borderId="4" xfId="1" applyFont="1" applyFill="1" applyBorder="1" applyAlignment="1">
      <alignment horizontal="center" vertical="center"/>
    </xf>
    <xf numFmtId="0" fontId="13" fillId="23" borderId="3" xfId="1" applyFont="1" applyFill="1" applyBorder="1" applyAlignment="1">
      <alignment horizontal="center" vertical="center"/>
    </xf>
    <xf numFmtId="0" fontId="46" fillId="0" borderId="7" xfId="6" applyFont="1" applyBorder="1" applyAlignment="1">
      <alignment horizontal="center" vertical="center" wrapText="1"/>
    </xf>
    <xf numFmtId="0" fontId="46" fillId="0" borderId="0" xfId="6" applyFont="1" applyAlignment="1">
      <alignment horizontal="center" vertical="center" wrapText="1"/>
    </xf>
    <xf numFmtId="0" fontId="13" fillId="23" borderId="1" xfId="1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6" borderId="1" xfId="1" applyFont="1" applyFill="1" applyBorder="1" applyAlignment="1">
      <alignment horizontal="center" vertical="center"/>
    </xf>
    <xf numFmtId="0" fontId="36" fillId="22" borderId="2" xfId="1" applyFont="1" applyFill="1" applyBorder="1" applyAlignment="1">
      <alignment horizontal="center" vertical="center"/>
    </xf>
    <xf numFmtId="0" fontId="36" fillId="22" borderId="4" xfId="1" applyFont="1" applyFill="1" applyBorder="1" applyAlignment="1">
      <alignment horizontal="center" vertical="center"/>
    </xf>
    <xf numFmtId="0" fontId="36" fillId="22" borderId="3" xfId="1" applyFont="1" applyFill="1" applyBorder="1" applyAlignment="1">
      <alignment horizontal="center" vertical="center"/>
    </xf>
    <xf numFmtId="0" fontId="36" fillId="22" borderId="1" xfId="1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36" fillId="0" borderId="2" xfId="1" applyFont="1" applyFill="1" applyBorder="1" applyAlignment="1">
      <alignment horizontal="center" vertical="center"/>
    </xf>
    <xf numFmtId="0" fontId="36" fillId="0" borderId="4" xfId="1" applyFont="1" applyFill="1" applyBorder="1" applyAlignment="1">
      <alignment horizontal="center" vertical="center"/>
    </xf>
    <xf numFmtId="0" fontId="36" fillId="0" borderId="3" xfId="1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14" fontId="17" fillId="0" borderId="10" xfId="0" applyNumberFormat="1" applyFont="1" applyBorder="1" applyAlignment="1">
      <alignment horizontal="center" vertical="center"/>
    </xf>
    <xf numFmtId="14" fontId="17" fillId="0" borderId="11" xfId="0" applyNumberFormat="1" applyFont="1" applyBorder="1" applyAlignment="1">
      <alignment horizontal="center" vertical="center"/>
    </xf>
    <xf numFmtId="14" fontId="17" fillId="0" borderId="12" xfId="0" applyNumberFormat="1" applyFont="1" applyBorder="1" applyAlignment="1">
      <alignment horizontal="center" vertical="center"/>
    </xf>
    <xf numFmtId="14" fontId="17" fillId="0" borderId="13" xfId="0" applyNumberFormat="1" applyFont="1" applyBorder="1" applyAlignment="1">
      <alignment horizontal="center" vertical="center"/>
    </xf>
    <xf numFmtId="14" fontId="17" fillId="0" borderId="2" xfId="0" applyNumberFormat="1" applyFont="1" applyBorder="1" applyAlignment="1">
      <alignment horizontal="center" vertical="center"/>
    </xf>
    <xf numFmtId="14" fontId="17" fillId="0" borderId="4" xfId="0" applyNumberFormat="1" applyFont="1" applyBorder="1" applyAlignment="1">
      <alignment horizontal="center" vertical="center"/>
    </xf>
    <xf numFmtId="14" fontId="17" fillId="0" borderId="3" xfId="0" applyNumberFormat="1" applyFont="1" applyBorder="1" applyAlignment="1">
      <alignment horizontal="center" vertical="center"/>
    </xf>
    <xf numFmtId="14" fontId="18" fillId="0" borderId="10" xfId="0" applyNumberFormat="1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14" fontId="17" fillId="0" borderId="6" xfId="0" applyNumberFormat="1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3" fillId="20" borderId="1" xfId="1" applyFont="1" applyFill="1" applyBorder="1" applyAlignment="1">
      <alignment horizontal="center" vertical="center"/>
    </xf>
    <xf numFmtId="0" fontId="13" fillId="21" borderId="12" xfId="0" applyFont="1" applyFill="1" applyBorder="1" applyAlignment="1">
      <alignment horizontal="center" vertical="center"/>
    </xf>
    <xf numFmtId="0" fontId="13" fillId="21" borderId="16" xfId="0" applyFont="1" applyFill="1" applyBorder="1" applyAlignment="1">
      <alignment horizontal="center" vertical="center"/>
    </xf>
    <xf numFmtId="0" fontId="13" fillId="21" borderId="13" xfId="0" applyFont="1" applyFill="1" applyBorder="1" applyAlignment="1">
      <alignment horizontal="center" vertical="center"/>
    </xf>
    <xf numFmtId="0" fontId="13" fillId="20" borderId="2" xfId="1" applyFont="1" applyFill="1" applyBorder="1" applyAlignment="1">
      <alignment horizontal="center" vertical="center"/>
    </xf>
    <xf numFmtId="0" fontId="13" fillId="20" borderId="4" xfId="1" applyFont="1" applyFill="1" applyBorder="1" applyAlignment="1">
      <alignment horizontal="center" vertical="center"/>
    </xf>
    <xf numFmtId="0" fontId="13" fillId="20" borderId="3" xfId="1" applyFont="1" applyFill="1" applyBorder="1" applyAlignment="1">
      <alignment horizontal="center" vertical="center"/>
    </xf>
    <xf numFmtId="0" fontId="13" fillId="21" borderId="2" xfId="0" applyFont="1" applyFill="1" applyBorder="1" applyAlignment="1">
      <alignment horizontal="center" vertical="center"/>
    </xf>
    <xf numFmtId="0" fontId="13" fillId="21" borderId="4" xfId="0" applyFont="1" applyFill="1" applyBorder="1" applyAlignment="1">
      <alignment horizontal="center" vertical="center"/>
    </xf>
    <xf numFmtId="0" fontId="13" fillId="21" borderId="3" xfId="0" applyFont="1" applyFill="1" applyBorder="1" applyAlignment="1">
      <alignment horizontal="center" vertical="center"/>
    </xf>
    <xf numFmtId="14" fontId="18" fillId="0" borderId="11" xfId="0" applyNumberFormat="1" applyFont="1" applyBorder="1" applyAlignment="1">
      <alignment horizontal="center" vertical="center"/>
    </xf>
    <xf numFmtId="14" fontId="18" fillId="0" borderId="12" xfId="0" applyNumberFormat="1" applyFont="1" applyBorder="1" applyAlignment="1">
      <alignment horizontal="center" vertical="center"/>
    </xf>
    <xf numFmtId="14" fontId="18" fillId="0" borderId="13" xfId="0" applyNumberFormat="1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0" fillId="0" borderId="1" xfId="0" applyBorder="1"/>
  </cellXfs>
  <cellStyles count="7">
    <cellStyle name="Accent1" xfId="1" builtinId="29"/>
    <cellStyle name="Bad" xfId="3" builtinId="27"/>
    <cellStyle name="Check Cell" xfId="4" builtinId="23"/>
    <cellStyle name="Good" xfId="2" builtinId="26"/>
    <cellStyle name="Hyperlink" xfId="6" builtinId="8"/>
    <cellStyle name="Normal" xfId="0" builtinId="0"/>
    <cellStyle name="Table Text" xfId="5" xr:uid="{5BEA445C-E635-40B7-B2C6-D2E028145AF9}"/>
  </cellStyles>
  <dxfs count="2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E7AB03"/>
      <color rgb="FFFEE7A8"/>
      <color rgb="FF549EA2"/>
      <color rgb="FFBBA001"/>
      <color rgb="FFD0B37E"/>
      <color rgb="FF649092"/>
      <color rgb="FFF3BD75"/>
      <color rgb="FFF7D5A7"/>
      <color rgb="FFF7C7A7"/>
      <color rgb="FFFCC0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0</xdr:row>
          <xdr:rowOff>342900</xdr:rowOff>
        </xdr:from>
        <xdr:to>
          <xdr:col>4</xdr:col>
          <xdr:colOff>106680</xdr:colOff>
          <xdr:row>2</xdr:row>
          <xdr:rowOff>76200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0</xdr:rowOff>
        </xdr:from>
        <xdr:to>
          <xdr:col>5</xdr:col>
          <xdr:colOff>175260</xdr:colOff>
          <xdr:row>1</xdr:row>
          <xdr:rowOff>83820</xdr:rowOff>
        </xdr:to>
        <xdr:sp macro="" textlink="">
          <xdr:nvSpPr>
            <xdr:cNvPr id="29697" name="Control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CC3B6-77EB-4EA1-9B09-D00A2B348D64}">
  <sheetPr codeName="Sheet3"/>
  <dimension ref="A1:B19"/>
  <sheetViews>
    <sheetView workbookViewId="0">
      <selection activeCell="A14" sqref="A14:XFD14"/>
    </sheetView>
  </sheetViews>
  <sheetFormatPr defaultRowHeight="13.8" x14ac:dyDescent="0.25"/>
  <cols>
    <col min="1" max="1" width="23.88671875" customWidth="1"/>
    <col min="2" max="2" width="24.44140625" customWidth="1"/>
  </cols>
  <sheetData>
    <row r="1" spans="1:2" ht="35.4" customHeight="1" x14ac:dyDescent="0.25">
      <c r="A1" s="382" t="s">
        <v>852</v>
      </c>
      <c r="B1" s="382" t="s">
        <v>853</v>
      </c>
    </row>
    <row r="2" spans="1:2" x14ac:dyDescent="0.25">
      <c r="A2" s="383" t="s">
        <v>854</v>
      </c>
      <c r="B2" s="383" t="s">
        <v>871</v>
      </c>
    </row>
    <row r="3" spans="1:2" x14ac:dyDescent="0.25">
      <c r="A3" s="383" t="s">
        <v>855</v>
      </c>
      <c r="B3" s="383"/>
    </row>
    <row r="4" spans="1:2" x14ac:dyDescent="0.25">
      <c r="A4" s="383" t="s">
        <v>857</v>
      </c>
      <c r="B4" s="383"/>
    </row>
    <row r="5" spans="1:2" x14ac:dyDescent="0.25">
      <c r="A5" s="383" t="s">
        <v>856</v>
      </c>
      <c r="B5" s="383"/>
    </row>
    <row r="6" spans="1:2" x14ac:dyDescent="0.25">
      <c r="A6" s="383" t="s">
        <v>858</v>
      </c>
      <c r="B6" s="383" t="s">
        <v>871</v>
      </c>
    </row>
    <row r="7" spans="1:2" x14ac:dyDescent="0.25">
      <c r="A7" s="383" t="s">
        <v>859</v>
      </c>
      <c r="B7" s="383"/>
    </row>
    <row r="8" spans="1:2" x14ac:dyDescent="0.25">
      <c r="A8" s="383" t="s">
        <v>860</v>
      </c>
      <c r="B8" s="383"/>
    </row>
    <row r="9" spans="1:2" x14ac:dyDescent="0.25">
      <c r="A9" s="383" t="s">
        <v>861</v>
      </c>
      <c r="B9" s="383"/>
    </row>
    <row r="10" spans="1:2" x14ac:dyDescent="0.25">
      <c r="A10" s="383" t="s">
        <v>862</v>
      </c>
      <c r="B10" s="383"/>
    </row>
    <row r="11" spans="1:2" x14ac:dyDescent="0.25">
      <c r="A11" s="383" t="s">
        <v>863</v>
      </c>
      <c r="B11" s="383"/>
    </row>
    <row r="12" spans="1:2" x14ac:dyDescent="0.25">
      <c r="A12" s="383" t="s">
        <v>864</v>
      </c>
      <c r="B12" s="383"/>
    </row>
    <row r="13" spans="1:2" x14ac:dyDescent="0.25">
      <c r="A13" s="383" t="s">
        <v>865</v>
      </c>
      <c r="B13" s="383"/>
    </row>
    <row r="14" spans="1:2" x14ac:dyDescent="0.25">
      <c r="A14" s="383" t="s">
        <v>866</v>
      </c>
      <c r="B14" s="383" t="s">
        <v>871</v>
      </c>
    </row>
    <row r="15" spans="1:2" x14ac:dyDescent="0.25">
      <c r="A15" s="383" t="s">
        <v>867</v>
      </c>
      <c r="B15" s="383"/>
    </row>
    <row r="16" spans="1:2" x14ac:dyDescent="0.25">
      <c r="A16" s="383" t="s">
        <v>868</v>
      </c>
      <c r="B16" s="383"/>
    </row>
    <row r="17" spans="1:2" x14ac:dyDescent="0.25">
      <c r="A17" s="383" t="s">
        <v>869</v>
      </c>
      <c r="B17" s="383"/>
    </row>
    <row r="18" spans="1:2" x14ac:dyDescent="0.25">
      <c r="A18" s="383" t="s">
        <v>870</v>
      </c>
      <c r="B18" s="383"/>
    </row>
    <row r="19" spans="1:2" x14ac:dyDescent="0.25">
      <c r="A19" s="384"/>
      <c r="B19" s="384"/>
    </row>
  </sheetData>
  <phoneticPr fontId="4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ZeroMaxQtyNoFlight">
                <anchor moveWithCells="1" sizeWithCells="1">
                  <from>
                    <xdr:col>2</xdr:col>
                    <xdr:colOff>426720</xdr:colOff>
                    <xdr:row>0</xdr:row>
                    <xdr:rowOff>342900</xdr:rowOff>
                  </from>
                  <to>
                    <xdr:col>4</xdr:col>
                    <xdr:colOff>106680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CB01-2EB3-4D48-8E33-97C27004C9CA}">
  <sheetPr codeName="Sheet1">
    <pageSetUpPr fitToPage="1"/>
  </sheetPr>
  <dimension ref="A1:H225"/>
  <sheetViews>
    <sheetView tabSelected="1" view="pageBreakPreview" zoomScale="55" zoomScaleNormal="100" zoomScaleSheetLayoutView="55" workbookViewId="0">
      <selection activeCell="D24" sqref="D24"/>
    </sheetView>
  </sheetViews>
  <sheetFormatPr defaultColWidth="14.44140625" defaultRowHeight="20.399999999999999" x14ac:dyDescent="0.25"/>
  <cols>
    <col min="1" max="1" width="14.33203125" style="221" bestFit="1" customWidth="1"/>
    <col min="2" max="2" width="11.5546875" style="219" bestFit="1" customWidth="1"/>
    <col min="3" max="3" width="18.5546875" style="219" bestFit="1" customWidth="1"/>
    <col min="4" max="4" width="83.109375" style="222" bestFit="1" customWidth="1"/>
    <col min="5" max="5" width="18.6640625" style="219" bestFit="1" customWidth="1"/>
    <col min="6" max="6" width="13.5546875" style="219" bestFit="1" customWidth="1"/>
    <col min="7" max="7" width="24.33203125" style="219" bestFit="1" customWidth="1"/>
    <col min="8" max="8" width="22.33203125" style="219" customWidth="1"/>
    <col min="9" max="16384" width="14.44140625" style="219"/>
  </cols>
  <sheetData>
    <row r="1" spans="1:8" ht="21" x14ac:dyDescent="0.25">
      <c r="A1" s="256" t="s">
        <v>758</v>
      </c>
      <c r="B1" s="257"/>
      <c r="C1" s="258"/>
      <c r="D1" s="262" t="s">
        <v>20</v>
      </c>
      <c r="E1" s="264">
        <f ca="1">TODAY()+1</f>
        <v>46175</v>
      </c>
      <c r="F1" s="265"/>
      <c r="G1" s="149" t="s">
        <v>16</v>
      </c>
      <c r="H1" s="150">
        <f ca="1">TODAY()+1</f>
        <v>46175</v>
      </c>
    </row>
    <row r="2" spans="1:8" ht="21" x14ac:dyDescent="0.25">
      <c r="A2" s="259"/>
      <c r="B2" s="260"/>
      <c r="C2" s="261"/>
      <c r="D2" s="263"/>
      <c r="E2" s="266"/>
      <c r="F2" s="267"/>
      <c r="G2" s="149" t="s">
        <v>17</v>
      </c>
      <c r="H2" s="150">
        <f ca="1">TODAY()+2</f>
        <v>46176</v>
      </c>
    </row>
    <row r="3" spans="1:8" x14ac:dyDescent="0.25">
      <c r="A3" s="83" t="s">
        <v>0</v>
      </c>
      <c r="B3" s="84" t="s">
        <v>28</v>
      </c>
      <c r="C3" s="83" t="s">
        <v>1</v>
      </c>
      <c r="D3" s="83" t="s">
        <v>2</v>
      </c>
      <c r="E3" s="84" t="s">
        <v>24</v>
      </c>
      <c r="F3" s="84" t="s">
        <v>29</v>
      </c>
      <c r="G3" s="84" t="s">
        <v>68</v>
      </c>
      <c r="H3" s="84" t="s">
        <v>15</v>
      </c>
    </row>
    <row r="4" spans="1:8" ht="25.2" x14ac:dyDescent="0.25">
      <c r="A4" s="86" t="s">
        <v>49</v>
      </c>
      <c r="B4" s="4" t="s">
        <v>224</v>
      </c>
      <c r="C4" s="4">
        <v>5900059496</v>
      </c>
      <c r="D4" s="1" t="s">
        <v>365</v>
      </c>
      <c r="E4" s="5">
        <v>0</v>
      </c>
      <c r="F4" s="2" t="s">
        <v>298</v>
      </c>
      <c r="G4" s="268" t="s">
        <v>679</v>
      </c>
      <c r="H4" s="143"/>
    </row>
    <row r="5" spans="1:8" s="220" customFormat="1" ht="25.2" x14ac:dyDescent="0.25">
      <c r="A5" s="86" t="s">
        <v>49</v>
      </c>
      <c r="B5" s="2" t="s">
        <v>12</v>
      </c>
      <c r="C5" s="2">
        <v>4900054084</v>
      </c>
      <c r="D5" s="3" t="s">
        <v>294</v>
      </c>
      <c r="E5" s="5">
        <v>0</v>
      </c>
      <c r="F5" s="2" t="s">
        <v>26</v>
      </c>
      <c r="G5" s="269"/>
      <c r="H5" s="143"/>
    </row>
    <row r="6" spans="1:8" s="220" customFormat="1" ht="25.2" x14ac:dyDescent="0.25">
      <c r="A6" s="86" t="s">
        <v>49</v>
      </c>
      <c r="B6" s="2" t="s">
        <v>12</v>
      </c>
      <c r="C6" s="2">
        <v>4900054107</v>
      </c>
      <c r="D6" s="3" t="s">
        <v>293</v>
      </c>
      <c r="E6" s="5">
        <v>0</v>
      </c>
      <c r="F6" s="2" t="s">
        <v>26</v>
      </c>
      <c r="G6" s="269"/>
      <c r="H6" s="143"/>
    </row>
    <row r="7" spans="1:8" s="220" customFormat="1" ht="50.4" x14ac:dyDescent="0.25">
      <c r="A7" s="86" t="s">
        <v>49</v>
      </c>
      <c r="B7" s="2" t="s">
        <v>12</v>
      </c>
      <c r="C7" s="2">
        <v>6900070030</v>
      </c>
      <c r="D7" s="3" t="s">
        <v>153</v>
      </c>
      <c r="E7" s="4">
        <v>0</v>
      </c>
      <c r="F7" s="2" t="s">
        <v>26</v>
      </c>
      <c r="G7" s="269"/>
      <c r="H7" s="143" t="s">
        <v>372</v>
      </c>
    </row>
    <row r="8" spans="1:8" s="220" customFormat="1" ht="50.4" x14ac:dyDescent="0.25">
      <c r="A8" s="86" t="s">
        <v>49</v>
      </c>
      <c r="B8" s="4" t="s">
        <v>12</v>
      </c>
      <c r="C8" s="4">
        <v>7000070378</v>
      </c>
      <c r="D8" s="1" t="s">
        <v>369</v>
      </c>
      <c r="E8" s="4">
        <v>0</v>
      </c>
      <c r="F8" s="4" t="s">
        <v>26</v>
      </c>
      <c r="G8" s="269"/>
      <c r="H8" s="143" t="s">
        <v>372</v>
      </c>
    </row>
    <row r="9" spans="1:8" s="220" customFormat="1" ht="50.4" x14ac:dyDescent="0.25">
      <c r="A9" s="86" t="s">
        <v>49</v>
      </c>
      <c r="B9" s="2" t="s">
        <v>12</v>
      </c>
      <c r="C9" s="2">
        <v>7200072143</v>
      </c>
      <c r="D9" s="3" t="s">
        <v>295</v>
      </c>
      <c r="E9" s="4">
        <v>0</v>
      </c>
      <c r="F9" s="4" t="s">
        <v>26</v>
      </c>
      <c r="G9" s="269"/>
      <c r="H9" s="143" t="s">
        <v>372</v>
      </c>
    </row>
    <row r="10" spans="1:8" s="220" customFormat="1" ht="25.2" x14ac:dyDescent="0.25">
      <c r="A10" s="86" t="s">
        <v>49</v>
      </c>
      <c r="B10" s="4" t="s">
        <v>12</v>
      </c>
      <c r="C10" s="4">
        <v>7500075683</v>
      </c>
      <c r="D10" s="1" t="s">
        <v>370</v>
      </c>
      <c r="E10" s="5">
        <v>0</v>
      </c>
      <c r="F10" s="4" t="s">
        <v>26</v>
      </c>
      <c r="G10" s="269"/>
      <c r="H10" s="143"/>
    </row>
    <row r="11" spans="1:8" s="220" customFormat="1" ht="25.2" x14ac:dyDescent="0.25">
      <c r="A11" s="86" t="s">
        <v>49</v>
      </c>
      <c r="B11" s="2" t="s">
        <v>10</v>
      </c>
      <c r="C11" s="2">
        <v>3900041132</v>
      </c>
      <c r="D11" s="3" t="s">
        <v>122</v>
      </c>
      <c r="E11" s="2">
        <v>0</v>
      </c>
      <c r="F11" s="2" t="s">
        <v>26</v>
      </c>
      <c r="G11" s="269"/>
      <c r="H11" s="143"/>
    </row>
    <row r="12" spans="1:8" s="220" customFormat="1" ht="25.2" x14ac:dyDescent="0.25">
      <c r="A12" s="86" t="s">
        <v>49</v>
      </c>
      <c r="B12" s="2" t="s">
        <v>10</v>
      </c>
      <c r="C12" s="2">
        <v>3900041133</v>
      </c>
      <c r="D12" s="3" t="s">
        <v>121</v>
      </c>
      <c r="E12" s="5">
        <v>0</v>
      </c>
      <c r="F12" s="2" t="s">
        <v>26</v>
      </c>
      <c r="G12" s="269"/>
      <c r="H12" s="143"/>
    </row>
    <row r="13" spans="1:8" s="220" customFormat="1" ht="25.2" x14ac:dyDescent="0.25">
      <c r="A13" s="86" t="s">
        <v>49</v>
      </c>
      <c r="B13" s="2" t="s">
        <v>10</v>
      </c>
      <c r="C13" s="2">
        <v>3900041245</v>
      </c>
      <c r="D13" s="3" t="s">
        <v>118</v>
      </c>
      <c r="E13" s="5">
        <v>0</v>
      </c>
      <c r="F13" s="2" t="s">
        <v>26</v>
      </c>
      <c r="G13" s="269"/>
      <c r="H13" s="143"/>
    </row>
    <row r="14" spans="1:8" s="220" customFormat="1" ht="25.2" x14ac:dyDescent="0.25">
      <c r="A14" s="86" t="s">
        <v>49</v>
      </c>
      <c r="B14" s="2" t="s">
        <v>10</v>
      </c>
      <c r="C14" s="2">
        <v>4900054081</v>
      </c>
      <c r="D14" s="3" t="s">
        <v>292</v>
      </c>
      <c r="E14" s="5">
        <v>0</v>
      </c>
      <c r="F14" s="5" t="s">
        <v>26</v>
      </c>
      <c r="G14" s="269"/>
      <c r="H14" s="143"/>
    </row>
    <row r="15" spans="1:8" ht="25.2" x14ac:dyDescent="0.25">
      <c r="A15" s="86" t="s">
        <v>49</v>
      </c>
      <c r="B15" s="2" t="s">
        <v>10</v>
      </c>
      <c r="C15" s="2">
        <v>4900054082</v>
      </c>
      <c r="D15" s="3" t="s">
        <v>291</v>
      </c>
      <c r="E15" s="5">
        <v>0</v>
      </c>
      <c r="F15" s="5" t="s">
        <v>26</v>
      </c>
      <c r="G15" s="269"/>
      <c r="H15" s="143"/>
    </row>
    <row r="16" spans="1:8" ht="25.2" x14ac:dyDescent="0.25">
      <c r="A16" s="86" t="s">
        <v>49</v>
      </c>
      <c r="B16" s="2" t="s">
        <v>10</v>
      </c>
      <c r="C16" s="2">
        <v>4900054102</v>
      </c>
      <c r="D16" s="3" t="s">
        <v>78</v>
      </c>
      <c r="E16" s="5">
        <v>0</v>
      </c>
      <c r="F16" s="5" t="s">
        <v>26</v>
      </c>
      <c r="G16" s="269"/>
      <c r="H16" s="143"/>
    </row>
    <row r="17" spans="1:8" s="220" customFormat="1" ht="25.2" x14ac:dyDescent="0.25">
      <c r="A17" s="86" t="s">
        <v>49</v>
      </c>
      <c r="B17" s="2" t="s">
        <v>10</v>
      </c>
      <c r="C17" s="2">
        <v>4900054103</v>
      </c>
      <c r="D17" s="3" t="s">
        <v>79</v>
      </c>
      <c r="E17" s="5">
        <v>0</v>
      </c>
      <c r="F17" s="5" t="s">
        <v>26</v>
      </c>
      <c r="G17" s="269"/>
      <c r="H17" s="143"/>
    </row>
    <row r="18" spans="1:8" s="220" customFormat="1" ht="25.2" x14ac:dyDescent="0.25">
      <c r="A18" s="86" t="s">
        <v>49</v>
      </c>
      <c r="B18" s="4" t="s">
        <v>10</v>
      </c>
      <c r="C18" s="4">
        <v>4900070025</v>
      </c>
      <c r="D18" s="1" t="s">
        <v>371</v>
      </c>
      <c r="E18" s="4">
        <v>0</v>
      </c>
      <c r="F18" s="5" t="s">
        <v>26</v>
      </c>
      <c r="G18" s="269"/>
      <c r="H18" s="143"/>
    </row>
    <row r="19" spans="1:8" s="220" customFormat="1" ht="25.2" x14ac:dyDescent="0.25">
      <c r="A19" s="86" t="s">
        <v>49</v>
      </c>
      <c r="B19" s="4" t="s">
        <v>10</v>
      </c>
      <c r="C19" s="4">
        <v>7000070189</v>
      </c>
      <c r="D19" s="1" t="s">
        <v>363</v>
      </c>
      <c r="E19" s="5">
        <v>0</v>
      </c>
      <c r="F19" s="5" t="s">
        <v>26</v>
      </c>
      <c r="G19" s="269"/>
      <c r="H19" s="143"/>
    </row>
    <row r="20" spans="1:8" s="220" customFormat="1" ht="25.2" x14ac:dyDescent="0.25">
      <c r="A20" s="86" t="s">
        <v>49</v>
      </c>
      <c r="B20" s="2" t="s">
        <v>10</v>
      </c>
      <c r="C20" s="2">
        <v>7000070383</v>
      </c>
      <c r="D20" s="3" t="s">
        <v>290</v>
      </c>
      <c r="E20" s="5">
        <v>0</v>
      </c>
      <c r="F20" s="5" t="s">
        <v>26</v>
      </c>
      <c r="G20" s="269"/>
      <c r="H20" s="143"/>
    </row>
    <row r="21" spans="1:8" s="220" customFormat="1" ht="25.2" x14ac:dyDescent="0.25">
      <c r="A21" s="86" t="s">
        <v>49</v>
      </c>
      <c r="B21" s="2" t="s">
        <v>10</v>
      </c>
      <c r="C21" s="2">
        <v>5900059454</v>
      </c>
      <c r="D21" s="3" t="s">
        <v>117</v>
      </c>
      <c r="E21" s="5">
        <v>0</v>
      </c>
      <c r="F21" s="5" t="s">
        <v>26</v>
      </c>
      <c r="G21" s="269"/>
      <c r="H21" s="143"/>
    </row>
    <row r="22" spans="1:8" s="220" customFormat="1" ht="50.4" x14ac:dyDescent="0.25">
      <c r="A22" s="86" t="s">
        <v>49</v>
      </c>
      <c r="B22" s="4" t="s">
        <v>10</v>
      </c>
      <c r="C22" s="2">
        <v>6900069209</v>
      </c>
      <c r="D22" s="3" t="s">
        <v>289</v>
      </c>
      <c r="E22" s="4">
        <v>0</v>
      </c>
      <c r="F22" s="5" t="s">
        <v>26</v>
      </c>
      <c r="G22" s="269"/>
      <c r="H22" s="143" t="s">
        <v>372</v>
      </c>
    </row>
    <row r="23" spans="1:8" s="220" customFormat="1" ht="50.4" x14ac:dyDescent="0.25">
      <c r="A23" s="86" t="s">
        <v>49</v>
      </c>
      <c r="B23" s="4" t="s">
        <v>10</v>
      </c>
      <c r="C23" s="4">
        <v>7000070403</v>
      </c>
      <c r="D23" s="1" t="s">
        <v>368</v>
      </c>
      <c r="E23" s="4">
        <v>0</v>
      </c>
      <c r="F23" s="5" t="s">
        <v>26</v>
      </c>
      <c r="G23" s="269"/>
      <c r="H23" s="143" t="s">
        <v>372</v>
      </c>
    </row>
    <row r="24" spans="1:8" s="220" customFormat="1" ht="25.2" x14ac:dyDescent="0.25">
      <c r="A24" s="86" t="s">
        <v>49</v>
      </c>
      <c r="B24" s="4" t="s">
        <v>10</v>
      </c>
      <c r="C24" s="4">
        <v>7200072158</v>
      </c>
      <c r="D24" s="1" t="s">
        <v>366</v>
      </c>
      <c r="E24" s="5">
        <v>0</v>
      </c>
      <c r="F24" s="5" t="s">
        <v>26</v>
      </c>
      <c r="G24" s="269"/>
      <c r="H24" s="143"/>
    </row>
    <row r="25" spans="1:8" s="220" customFormat="1" ht="50.4" x14ac:dyDescent="0.25">
      <c r="A25" s="86" t="s">
        <v>49</v>
      </c>
      <c r="B25" s="2" t="s">
        <v>10</v>
      </c>
      <c r="C25" s="2">
        <v>7400074157</v>
      </c>
      <c r="D25" s="3" t="s">
        <v>115</v>
      </c>
      <c r="E25" s="4">
        <v>0</v>
      </c>
      <c r="F25" s="5" t="s">
        <v>26</v>
      </c>
      <c r="G25" s="269"/>
      <c r="H25" s="143" t="s">
        <v>372</v>
      </c>
    </row>
    <row r="26" spans="1:8" s="220" customFormat="1" ht="50.4" x14ac:dyDescent="0.25">
      <c r="A26" s="86" t="s">
        <v>49</v>
      </c>
      <c r="B26" s="2" t="s">
        <v>10</v>
      </c>
      <c r="C26" s="2">
        <v>7400074159</v>
      </c>
      <c r="D26" s="3" t="s">
        <v>116</v>
      </c>
      <c r="E26" s="4">
        <v>0</v>
      </c>
      <c r="F26" s="5" t="s">
        <v>26</v>
      </c>
      <c r="G26" s="269"/>
      <c r="H26" s="143" t="s">
        <v>372</v>
      </c>
    </row>
    <row r="27" spans="1:8" s="220" customFormat="1" x14ac:dyDescent="0.25">
      <c r="A27" s="86" t="s">
        <v>49</v>
      </c>
      <c r="B27" s="4" t="s">
        <v>10</v>
      </c>
      <c r="C27" s="4">
        <v>7900081310</v>
      </c>
      <c r="D27" s="1" t="s">
        <v>364</v>
      </c>
      <c r="E27" s="5">
        <v>0</v>
      </c>
      <c r="F27" s="5" t="s">
        <v>26</v>
      </c>
      <c r="G27" s="269"/>
      <c r="H27" s="6"/>
    </row>
    <row r="28" spans="1:8" s="220" customFormat="1" ht="25.2" x14ac:dyDescent="0.25">
      <c r="A28" s="86" t="s">
        <v>49</v>
      </c>
      <c r="B28" s="2" t="s">
        <v>33</v>
      </c>
      <c r="C28" s="2">
        <v>3900040512</v>
      </c>
      <c r="D28" s="3" t="s">
        <v>119</v>
      </c>
      <c r="E28" s="5">
        <v>0</v>
      </c>
      <c r="F28" s="2" t="s">
        <v>26</v>
      </c>
      <c r="G28" s="269"/>
      <c r="H28" s="143"/>
    </row>
    <row r="29" spans="1:8" s="220" customFormat="1" ht="25.2" x14ac:dyDescent="0.25">
      <c r="A29" s="86" t="s">
        <v>49</v>
      </c>
      <c r="B29" s="2" t="s">
        <v>33</v>
      </c>
      <c r="C29" s="2">
        <v>3900040513</v>
      </c>
      <c r="D29" s="3" t="s">
        <v>120</v>
      </c>
      <c r="E29" s="5">
        <v>0</v>
      </c>
      <c r="F29" s="2" t="s">
        <v>26</v>
      </c>
      <c r="G29" s="269"/>
      <c r="H29" s="143"/>
    </row>
    <row r="30" spans="1:8" s="220" customFormat="1" ht="25.2" x14ac:dyDescent="0.25">
      <c r="A30" s="86" t="s">
        <v>49</v>
      </c>
      <c r="B30" s="4" t="s">
        <v>33</v>
      </c>
      <c r="C30" s="4">
        <v>7200072157</v>
      </c>
      <c r="D30" s="1" t="s">
        <v>367</v>
      </c>
      <c r="E30" s="5">
        <v>0</v>
      </c>
      <c r="F30" s="2" t="s">
        <v>26</v>
      </c>
      <c r="G30" s="270"/>
      <c r="H30" s="143"/>
    </row>
    <row r="31" spans="1:8" s="220" customFormat="1" ht="25.2" hidden="1" x14ac:dyDescent="0.25">
      <c r="A31" s="86" t="s">
        <v>49</v>
      </c>
      <c r="B31" s="4" t="s">
        <v>10</v>
      </c>
      <c r="C31" s="4">
        <v>7900081310</v>
      </c>
      <c r="D31" s="1" t="s">
        <v>364</v>
      </c>
      <c r="E31" s="5">
        <v>0</v>
      </c>
      <c r="F31" s="5" t="s">
        <v>26</v>
      </c>
      <c r="G31" s="271" t="s">
        <v>682</v>
      </c>
      <c r="H31" s="143"/>
    </row>
    <row r="32" spans="1:8" s="220" customFormat="1" ht="25.2" hidden="1" x14ac:dyDescent="0.25">
      <c r="A32" s="86" t="s">
        <v>49</v>
      </c>
      <c r="B32" s="4" t="s">
        <v>10</v>
      </c>
      <c r="C32" s="4">
        <v>7400074159</v>
      </c>
      <c r="D32" s="1" t="s">
        <v>116</v>
      </c>
      <c r="E32" s="5">
        <v>0</v>
      </c>
      <c r="F32" s="5" t="s">
        <v>26</v>
      </c>
      <c r="G32" s="272"/>
      <c r="H32" s="143"/>
    </row>
    <row r="33" spans="1:8" s="220" customFormat="1" ht="25.2" hidden="1" x14ac:dyDescent="0.25">
      <c r="A33" s="86" t="s">
        <v>49</v>
      </c>
      <c r="B33" s="4" t="s">
        <v>10</v>
      </c>
      <c r="C33" s="4">
        <v>7400074157</v>
      </c>
      <c r="D33" s="1" t="s">
        <v>115</v>
      </c>
      <c r="E33" s="5">
        <v>0</v>
      </c>
      <c r="F33" s="5" t="s">
        <v>26</v>
      </c>
      <c r="G33" s="272"/>
      <c r="H33" s="143"/>
    </row>
    <row r="34" spans="1:8" s="220" customFormat="1" ht="25.2" hidden="1" x14ac:dyDescent="0.25">
      <c r="A34" s="86" t="s">
        <v>49</v>
      </c>
      <c r="B34" s="4" t="s">
        <v>10</v>
      </c>
      <c r="C34" s="4">
        <v>7200072158</v>
      </c>
      <c r="D34" s="1" t="s">
        <v>366</v>
      </c>
      <c r="E34" s="5">
        <v>0</v>
      </c>
      <c r="F34" s="5" t="s">
        <v>26</v>
      </c>
      <c r="G34" s="272"/>
      <c r="H34" s="143"/>
    </row>
    <row r="35" spans="1:8" s="220" customFormat="1" ht="25.2" hidden="1" x14ac:dyDescent="0.25">
      <c r="A35" s="86" t="s">
        <v>49</v>
      </c>
      <c r="B35" s="4" t="s">
        <v>10</v>
      </c>
      <c r="C35" s="4">
        <v>7000075005</v>
      </c>
      <c r="D35" s="1" t="s">
        <v>770</v>
      </c>
      <c r="E35" s="5">
        <v>0</v>
      </c>
      <c r="F35" s="5" t="s">
        <v>26</v>
      </c>
      <c r="G35" s="272"/>
      <c r="H35" s="143"/>
    </row>
    <row r="36" spans="1:8" s="220" customFormat="1" ht="25.2" hidden="1" x14ac:dyDescent="0.25">
      <c r="A36" s="86" t="s">
        <v>49</v>
      </c>
      <c r="B36" s="4" t="s">
        <v>33</v>
      </c>
      <c r="C36" s="4">
        <v>7200072157</v>
      </c>
      <c r="D36" s="1" t="s">
        <v>367</v>
      </c>
      <c r="E36" s="5">
        <v>0</v>
      </c>
      <c r="F36" s="2" t="s">
        <v>26</v>
      </c>
      <c r="G36" s="272"/>
      <c r="H36" s="143"/>
    </row>
    <row r="37" spans="1:8" s="220" customFormat="1" ht="25.2" hidden="1" x14ac:dyDescent="0.25">
      <c r="A37" s="86" t="s">
        <v>49</v>
      </c>
      <c r="B37" s="4" t="s">
        <v>80</v>
      </c>
      <c r="C37" s="4">
        <v>4900054088</v>
      </c>
      <c r="D37" s="1" t="s">
        <v>767</v>
      </c>
      <c r="E37" s="5">
        <v>0</v>
      </c>
      <c r="F37" s="2" t="s">
        <v>26</v>
      </c>
      <c r="G37" s="272"/>
      <c r="H37" s="143"/>
    </row>
    <row r="38" spans="1:8" s="220" customFormat="1" ht="25.2" hidden="1" x14ac:dyDescent="0.25">
      <c r="A38" s="86" t="s">
        <v>49</v>
      </c>
      <c r="B38" s="4" t="s">
        <v>80</v>
      </c>
      <c r="C38" s="4">
        <v>4900054091</v>
      </c>
      <c r="D38" s="1" t="s">
        <v>772</v>
      </c>
      <c r="E38" s="5">
        <v>0</v>
      </c>
      <c r="F38" s="2" t="s">
        <v>26</v>
      </c>
      <c r="G38" s="272"/>
      <c r="H38" s="143"/>
    </row>
    <row r="39" spans="1:8" s="220" customFormat="1" ht="25.2" hidden="1" x14ac:dyDescent="0.25">
      <c r="A39" s="86" t="s">
        <v>49</v>
      </c>
      <c r="B39" s="4" t="s">
        <v>80</v>
      </c>
      <c r="C39" s="4">
        <v>4900054893</v>
      </c>
      <c r="D39" s="1" t="s">
        <v>773</v>
      </c>
      <c r="E39" s="5">
        <v>0</v>
      </c>
      <c r="F39" s="2" t="s">
        <v>26</v>
      </c>
      <c r="G39" s="272"/>
      <c r="H39" s="143"/>
    </row>
    <row r="40" spans="1:8" s="220" customFormat="1" ht="25.2" hidden="1" x14ac:dyDescent="0.25">
      <c r="A40" s="86" t="s">
        <v>49</v>
      </c>
      <c r="B40" s="4" t="s">
        <v>80</v>
      </c>
      <c r="C40" s="4">
        <v>5900059446</v>
      </c>
      <c r="D40" s="1" t="s">
        <v>771</v>
      </c>
      <c r="E40" s="5">
        <v>0</v>
      </c>
      <c r="F40" s="2" t="s">
        <v>26</v>
      </c>
      <c r="G40" s="272"/>
      <c r="H40" s="143"/>
    </row>
    <row r="41" spans="1:8" s="220" customFormat="1" ht="25.2" hidden="1" x14ac:dyDescent="0.25">
      <c r="A41" s="86" t="s">
        <v>49</v>
      </c>
      <c r="B41" s="4" t="s">
        <v>10</v>
      </c>
      <c r="C41" s="4">
        <v>4900054078</v>
      </c>
      <c r="D41" s="1" t="s">
        <v>759</v>
      </c>
      <c r="E41" s="5">
        <v>0</v>
      </c>
      <c r="F41" s="5" t="s">
        <v>26</v>
      </c>
      <c r="G41" s="272"/>
      <c r="H41" s="143"/>
    </row>
    <row r="42" spans="1:8" s="220" customFormat="1" ht="25.2" hidden="1" x14ac:dyDescent="0.25">
      <c r="A42" s="86" t="s">
        <v>49</v>
      </c>
      <c r="B42" s="4" t="s">
        <v>10</v>
      </c>
      <c r="C42" s="4">
        <v>4900054079</v>
      </c>
      <c r="D42" s="1" t="s">
        <v>760</v>
      </c>
      <c r="E42" s="5">
        <v>0</v>
      </c>
      <c r="F42" s="5" t="s">
        <v>26</v>
      </c>
      <c r="G42" s="272"/>
      <c r="H42" s="143"/>
    </row>
    <row r="43" spans="1:8" ht="25.2" hidden="1" x14ac:dyDescent="0.25">
      <c r="A43" s="86" t="s">
        <v>49</v>
      </c>
      <c r="B43" s="4" t="s">
        <v>10</v>
      </c>
      <c r="C43" s="4">
        <v>4900054102</v>
      </c>
      <c r="D43" s="1" t="s">
        <v>78</v>
      </c>
      <c r="E43" s="5">
        <v>0</v>
      </c>
      <c r="F43" s="5" t="s">
        <v>26</v>
      </c>
      <c r="G43" s="272"/>
      <c r="H43" s="143"/>
    </row>
    <row r="44" spans="1:8" s="220" customFormat="1" ht="25.2" hidden="1" x14ac:dyDescent="0.25">
      <c r="A44" s="86" t="s">
        <v>49</v>
      </c>
      <c r="B44" s="4" t="s">
        <v>10</v>
      </c>
      <c r="C44" s="4">
        <v>4900054103</v>
      </c>
      <c r="D44" s="1" t="s">
        <v>79</v>
      </c>
      <c r="E44" s="5">
        <v>0</v>
      </c>
      <c r="F44" s="5" t="s">
        <v>26</v>
      </c>
      <c r="G44" s="272"/>
      <c r="H44" s="143"/>
    </row>
    <row r="45" spans="1:8" s="220" customFormat="1" ht="25.2" hidden="1" x14ac:dyDescent="0.25">
      <c r="A45" s="86" t="s">
        <v>49</v>
      </c>
      <c r="B45" s="4" t="s">
        <v>10</v>
      </c>
      <c r="C45" s="4">
        <v>4900054191</v>
      </c>
      <c r="D45" s="1" t="s">
        <v>768</v>
      </c>
      <c r="E45" s="5">
        <v>0</v>
      </c>
      <c r="F45" s="5" t="s">
        <v>26</v>
      </c>
      <c r="G45" s="272"/>
      <c r="H45" s="143"/>
    </row>
    <row r="46" spans="1:8" s="220" customFormat="1" ht="25.2" hidden="1" x14ac:dyDescent="0.25">
      <c r="A46" s="86" t="s">
        <v>49</v>
      </c>
      <c r="B46" s="4" t="s">
        <v>10</v>
      </c>
      <c r="C46" s="4">
        <v>4900054883</v>
      </c>
      <c r="D46" s="1" t="s">
        <v>761</v>
      </c>
      <c r="E46" s="5">
        <v>0</v>
      </c>
      <c r="F46" s="5" t="s">
        <v>26</v>
      </c>
      <c r="G46" s="272"/>
      <c r="H46" s="143"/>
    </row>
    <row r="47" spans="1:8" s="220" customFormat="1" ht="25.2" hidden="1" x14ac:dyDescent="0.25">
      <c r="A47" s="86" t="s">
        <v>49</v>
      </c>
      <c r="B47" s="4" t="s">
        <v>10</v>
      </c>
      <c r="C47" s="4">
        <v>4900054884</v>
      </c>
      <c r="D47" s="1" t="s">
        <v>762</v>
      </c>
      <c r="E47" s="5">
        <v>0</v>
      </c>
      <c r="F47" s="5" t="s">
        <v>26</v>
      </c>
      <c r="G47" s="272"/>
      <c r="H47" s="143"/>
    </row>
    <row r="48" spans="1:8" s="220" customFormat="1" ht="25.2" hidden="1" x14ac:dyDescent="0.25">
      <c r="A48" s="86" t="s">
        <v>49</v>
      </c>
      <c r="B48" s="4" t="s">
        <v>10</v>
      </c>
      <c r="C48" s="4">
        <v>4900054888</v>
      </c>
      <c r="D48" s="1" t="s">
        <v>764</v>
      </c>
      <c r="E48" s="5">
        <v>0</v>
      </c>
      <c r="F48" s="5" t="s">
        <v>26</v>
      </c>
      <c r="G48" s="272"/>
      <c r="H48" s="143"/>
    </row>
    <row r="49" spans="1:8" s="220" customFormat="1" ht="25.2" hidden="1" x14ac:dyDescent="0.25">
      <c r="A49" s="86" t="s">
        <v>49</v>
      </c>
      <c r="B49" s="4" t="s">
        <v>10</v>
      </c>
      <c r="C49" s="4">
        <v>4900054890</v>
      </c>
      <c r="D49" s="1" t="s">
        <v>763</v>
      </c>
      <c r="E49" s="5">
        <v>0</v>
      </c>
      <c r="F49" s="5" t="s">
        <v>26</v>
      </c>
      <c r="G49" s="272"/>
      <c r="H49" s="143"/>
    </row>
    <row r="50" spans="1:8" s="220" customFormat="1" ht="25.2" hidden="1" x14ac:dyDescent="0.25">
      <c r="A50" s="86" t="s">
        <v>49</v>
      </c>
      <c r="B50" s="4" t="s">
        <v>10</v>
      </c>
      <c r="C50" s="4">
        <v>4900054892</v>
      </c>
      <c r="D50" s="1" t="s">
        <v>766</v>
      </c>
      <c r="E50" s="5">
        <v>0</v>
      </c>
      <c r="F50" s="5" t="s">
        <v>26</v>
      </c>
      <c r="G50" s="272"/>
      <c r="H50" s="143"/>
    </row>
    <row r="51" spans="1:8" s="220" customFormat="1" ht="25.2" hidden="1" x14ac:dyDescent="0.25">
      <c r="A51" s="86" t="s">
        <v>49</v>
      </c>
      <c r="B51" s="4" t="s">
        <v>10</v>
      </c>
      <c r="C51" s="4">
        <v>4900054939</v>
      </c>
      <c r="D51" s="1" t="s">
        <v>765</v>
      </c>
      <c r="E51" s="5">
        <v>0</v>
      </c>
      <c r="F51" s="5" t="s">
        <v>26</v>
      </c>
      <c r="G51" s="272"/>
      <c r="H51" s="143"/>
    </row>
    <row r="52" spans="1:8" s="220" customFormat="1" ht="25.2" hidden="1" x14ac:dyDescent="0.25">
      <c r="A52" s="86" t="s">
        <v>49</v>
      </c>
      <c r="B52" s="4" t="s">
        <v>10</v>
      </c>
      <c r="C52" s="4">
        <v>5900059452</v>
      </c>
      <c r="D52" s="1" t="s">
        <v>769</v>
      </c>
      <c r="E52" s="5">
        <v>0</v>
      </c>
      <c r="F52" s="5" t="s">
        <v>26</v>
      </c>
      <c r="G52" s="272"/>
      <c r="H52" s="143"/>
    </row>
    <row r="53" spans="1:8" s="220" customFormat="1" ht="25.2" hidden="1" x14ac:dyDescent="0.25">
      <c r="A53" s="86" t="s">
        <v>49</v>
      </c>
      <c r="B53" s="4" t="s">
        <v>10</v>
      </c>
      <c r="C53" s="4">
        <v>5900059454</v>
      </c>
      <c r="D53" s="1" t="s">
        <v>117</v>
      </c>
      <c r="E53" s="5">
        <v>0</v>
      </c>
      <c r="F53" s="5" t="s">
        <v>26</v>
      </c>
      <c r="G53" s="272"/>
      <c r="H53" s="143"/>
    </row>
    <row r="54" spans="1:8" s="220" customFormat="1" ht="25.2" hidden="1" x14ac:dyDescent="0.25">
      <c r="A54" s="86" t="s">
        <v>49</v>
      </c>
      <c r="B54" s="4" t="s">
        <v>10</v>
      </c>
      <c r="C54" s="4">
        <v>6900069209</v>
      </c>
      <c r="D54" s="1" t="s">
        <v>289</v>
      </c>
      <c r="E54" s="5">
        <v>0</v>
      </c>
      <c r="F54" s="5" t="s">
        <v>26</v>
      </c>
      <c r="G54" s="272"/>
      <c r="H54" s="143"/>
    </row>
    <row r="55" spans="1:8" s="220" customFormat="1" ht="25.2" hidden="1" x14ac:dyDescent="0.25">
      <c r="A55" s="86" t="s">
        <v>49</v>
      </c>
      <c r="B55" s="4" t="s">
        <v>10</v>
      </c>
      <c r="C55" s="4">
        <v>7000070383</v>
      </c>
      <c r="D55" s="1" t="s">
        <v>290</v>
      </c>
      <c r="E55" s="5">
        <v>0</v>
      </c>
      <c r="F55" s="5" t="s">
        <v>26</v>
      </c>
      <c r="G55" s="273"/>
      <c r="H55" s="143"/>
    </row>
    <row r="56" spans="1:8" s="220" customFormat="1" x14ac:dyDescent="0.25">
      <c r="A56" s="86" t="s">
        <v>36</v>
      </c>
      <c r="B56" s="5" t="s">
        <v>10</v>
      </c>
      <c r="C56" s="5">
        <v>4900090649</v>
      </c>
      <c r="D56" s="146" t="s">
        <v>778</v>
      </c>
      <c r="E56" s="5">
        <v>40</v>
      </c>
      <c r="F56" s="5" t="s">
        <v>26</v>
      </c>
      <c r="G56" s="215"/>
      <c r="H56" s="6"/>
    </row>
    <row r="57" spans="1:8" s="220" customFormat="1" x14ac:dyDescent="0.25">
      <c r="A57" s="86" t="s">
        <v>36</v>
      </c>
      <c r="B57" s="5" t="s">
        <v>10</v>
      </c>
      <c r="C57" s="5">
        <v>7900081315</v>
      </c>
      <c r="D57" s="146" t="s">
        <v>774</v>
      </c>
      <c r="E57" s="5">
        <v>40</v>
      </c>
      <c r="F57" s="5" t="s">
        <v>26</v>
      </c>
      <c r="G57" s="6"/>
      <c r="H57" s="6"/>
    </row>
    <row r="58" spans="1:8" s="220" customFormat="1" x14ac:dyDescent="0.25">
      <c r="A58" s="86" t="s">
        <v>36</v>
      </c>
      <c r="B58" s="5" t="s">
        <v>10</v>
      </c>
      <c r="C58" s="5">
        <v>7900081316</v>
      </c>
      <c r="D58" s="146" t="s">
        <v>137</v>
      </c>
      <c r="E58" s="5">
        <v>40</v>
      </c>
      <c r="F58" s="5" t="s">
        <v>26</v>
      </c>
      <c r="G58" s="6"/>
      <c r="H58" s="6"/>
    </row>
    <row r="59" spans="1:8" s="220" customFormat="1" x14ac:dyDescent="0.25">
      <c r="A59" s="86" t="s">
        <v>36</v>
      </c>
      <c r="B59" s="5" t="s">
        <v>10</v>
      </c>
      <c r="C59" s="5">
        <v>7900081322</v>
      </c>
      <c r="D59" s="146" t="s">
        <v>775</v>
      </c>
      <c r="E59" s="5">
        <v>10</v>
      </c>
      <c r="F59" s="5" t="s">
        <v>26</v>
      </c>
      <c r="G59" s="6"/>
      <c r="H59" s="6"/>
    </row>
    <row r="60" spans="1:8" x14ac:dyDescent="0.25">
      <c r="A60" s="86" t="s">
        <v>36</v>
      </c>
      <c r="B60" s="5" t="s">
        <v>10</v>
      </c>
      <c r="C60" s="5">
        <v>7900081328</v>
      </c>
      <c r="D60" s="146" t="s">
        <v>776</v>
      </c>
      <c r="E60" s="5">
        <v>16</v>
      </c>
      <c r="F60" s="5" t="s">
        <v>26</v>
      </c>
      <c r="G60" s="6"/>
      <c r="H60" s="6"/>
    </row>
    <row r="61" spans="1:8" x14ac:dyDescent="0.25">
      <c r="A61" s="86" t="s">
        <v>36</v>
      </c>
      <c r="B61" s="5" t="s">
        <v>10</v>
      </c>
      <c r="C61" s="5">
        <v>7900081351</v>
      </c>
      <c r="D61" s="146" t="s">
        <v>140</v>
      </c>
      <c r="E61" s="5">
        <v>3</v>
      </c>
      <c r="F61" s="5" t="s">
        <v>26</v>
      </c>
      <c r="G61" s="6"/>
      <c r="H61" s="6"/>
    </row>
    <row r="62" spans="1:8" ht="25.2" x14ac:dyDescent="0.25">
      <c r="A62" s="86" t="s">
        <v>36</v>
      </c>
      <c r="B62" s="5" t="s">
        <v>10</v>
      </c>
      <c r="C62" s="5">
        <v>7900081362</v>
      </c>
      <c r="D62" s="146" t="s">
        <v>139</v>
      </c>
      <c r="E62" s="5">
        <v>1</v>
      </c>
      <c r="F62" s="5" t="s">
        <v>26</v>
      </c>
      <c r="G62" s="217"/>
      <c r="H62" s="143"/>
    </row>
    <row r="63" spans="1:8" x14ac:dyDescent="0.25">
      <c r="A63" s="86" t="s">
        <v>36</v>
      </c>
      <c r="B63" s="5" t="s">
        <v>10</v>
      </c>
      <c r="C63" s="5">
        <v>7900081376</v>
      </c>
      <c r="D63" s="146" t="s">
        <v>785</v>
      </c>
      <c r="E63" s="5">
        <v>1</v>
      </c>
      <c r="F63" s="5" t="s">
        <v>26</v>
      </c>
      <c r="G63" s="6"/>
      <c r="H63" s="6"/>
    </row>
    <row r="64" spans="1:8" x14ac:dyDescent="0.25">
      <c r="A64" s="86" t="s">
        <v>36</v>
      </c>
      <c r="B64" s="5" t="s">
        <v>10</v>
      </c>
      <c r="C64" s="5">
        <v>7900081380</v>
      </c>
      <c r="D64" s="146" t="s">
        <v>779</v>
      </c>
      <c r="E64" s="5">
        <v>3</v>
      </c>
      <c r="F64" s="5" t="s">
        <v>26</v>
      </c>
      <c r="G64" s="6"/>
      <c r="H64" s="6"/>
    </row>
    <row r="65" spans="1:8" x14ac:dyDescent="0.25">
      <c r="A65" s="86" t="s">
        <v>36</v>
      </c>
      <c r="B65" s="6" t="s">
        <v>10</v>
      </c>
      <c r="C65" s="6">
        <v>7900081424</v>
      </c>
      <c r="D65" s="111" t="s">
        <v>780</v>
      </c>
      <c r="E65" s="5">
        <v>1</v>
      </c>
      <c r="F65" s="5" t="s">
        <v>26</v>
      </c>
      <c r="G65" s="6"/>
      <c r="H65" s="6"/>
    </row>
    <row r="66" spans="1:8" x14ac:dyDescent="0.25">
      <c r="A66" s="86" t="s">
        <v>36</v>
      </c>
      <c r="B66" s="5" t="s">
        <v>10</v>
      </c>
      <c r="C66" s="5">
        <v>7900081427</v>
      </c>
      <c r="D66" s="146" t="s">
        <v>781</v>
      </c>
      <c r="E66" s="5">
        <v>3</v>
      </c>
      <c r="F66" s="5" t="s">
        <v>26</v>
      </c>
      <c r="G66" s="6"/>
      <c r="H66" s="6"/>
    </row>
    <row r="67" spans="1:8" ht="25.2" x14ac:dyDescent="0.25">
      <c r="A67" s="86" t="s">
        <v>36</v>
      </c>
      <c r="B67" s="5" t="s">
        <v>10</v>
      </c>
      <c r="C67" s="5">
        <v>7900081431</v>
      </c>
      <c r="D67" s="146" t="s">
        <v>783</v>
      </c>
      <c r="E67" s="5">
        <v>1</v>
      </c>
      <c r="F67" s="5" t="s">
        <v>26</v>
      </c>
      <c r="G67" s="217"/>
      <c r="H67" s="143"/>
    </row>
    <row r="68" spans="1:8" x14ac:dyDescent="0.25">
      <c r="A68" s="86" t="s">
        <v>36</v>
      </c>
      <c r="B68" s="5" t="s">
        <v>10</v>
      </c>
      <c r="C68" s="5">
        <v>7900081433</v>
      </c>
      <c r="D68" s="146" t="s">
        <v>777</v>
      </c>
      <c r="E68" s="5">
        <v>3</v>
      </c>
      <c r="F68" s="5" t="s">
        <v>26</v>
      </c>
      <c r="G68" s="218"/>
      <c r="H68" s="6"/>
    </row>
    <row r="69" spans="1:8" x14ac:dyDescent="0.25">
      <c r="A69" s="86" t="s">
        <v>36</v>
      </c>
      <c r="B69" s="5" t="s">
        <v>33</v>
      </c>
      <c r="C69" s="5">
        <v>4600046061</v>
      </c>
      <c r="D69" s="146" t="s">
        <v>782</v>
      </c>
      <c r="E69" s="5">
        <v>12</v>
      </c>
      <c r="F69" s="2" t="s">
        <v>26</v>
      </c>
      <c r="G69" s="6"/>
      <c r="H69" s="6"/>
    </row>
    <row r="70" spans="1:8" x14ac:dyDescent="0.25">
      <c r="A70" s="86" t="s">
        <v>36</v>
      </c>
      <c r="B70" s="5" t="s">
        <v>33</v>
      </c>
      <c r="C70" s="5">
        <v>4900090780</v>
      </c>
      <c r="D70" s="146" t="s">
        <v>138</v>
      </c>
      <c r="E70" s="5">
        <v>24</v>
      </c>
      <c r="F70" s="2" t="s">
        <v>26</v>
      </c>
      <c r="G70" s="6"/>
      <c r="H70" s="6"/>
    </row>
    <row r="71" spans="1:8" x14ac:dyDescent="0.25">
      <c r="A71" s="86" t="s">
        <v>36</v>
      </c>
      <c r="B71" s="5" t="s">
        <v>33</v>
      </c>
      <c r="C71" s="5">
        <v>7900081443</v>
      </c>
      <c r="D71" s="146" t="s">
        <v>784</v>
      </c>
      <c r="E71" s="5">
        <v>12</v>
      </c>
      <c r="F71" s="2" t="s">
        <v>26</v>
      </c>
      <c r="G71" s="6"/>
      <c r="H71" s="6"/>
    </row>
    <row r="72" spans="1:8" x14ac:dyDescent="0.25">
      <c r="A72" s="86" t="s">
        <v>37</v>
      </c>
      <c r="B72" s="4" t="s">
        <v>11</v>
      </c>
      <c r="C72" s="4">
        <v>4400045010</v>
      </c>
      <c r="D72" s="1" t="s">
        <v>304</v>
      </c>
      <c r="E72" s="4">
        <v>24</v>
      </c>
      <c r="F72" s="4" t="s">
        <v>26</v>
      </c>
      <c r="G72" s="4"/>
      <c r="H72" s="4"/>
    </row>
    <row r="73" spans="1:8" x14ac:dyDescent="0.25">
      <c r="A73" s="86" t="s">
        <v>37</v>
      </c>
      <c r="B73" s="4" t="s">
        <v>11</v>
      </c>
      <c r="C73" s="4">
        <v>4400045011</v>
      </c>
      <c r="D73" s="1" t="s">
        <v>305</v>
      </c>
      <c r="E73" s="4">
        <v>24</v>
      </c>
      <c r="F73" s="4" t="s">
        <v>26</v>
      </c>
      <c r="G73" s="4"/>
      <c r="H73" s="4"/>
    </row>
    <row r="74" spans="1:8" x14ac:dyDescent="0.25">
      <c r="A74" s="86" t="s">
        <v>37</v>
      </c>
      <c r="B74" s="4" t="s">
        <v>12</v>
      </c>
      <c r="C74" s="4">
        <v>4900090626</v>
      </c>
      <c r="D74" s="1" t="s">
        <v>791</v>
      </c>
      <c r="E74" s="4">
        <v>4</v>
      </c>
      <c r="F74" s="2" t="s">
        <v>26</v>
      </c>
      <c r="G74" s="4"/>
      <c r="H74" s="4"/>
    </row>
    <row r="75" spans="1:8" x14ac:dyDescent="0.25">
      <c r="A75" s="86" t="s">
        <v>37</v>
      </c>
      <c r="B75" s="4" t="s">
        <v>12</v>
      </c>
      <c r="C75" s="4">
        <v>4900090774</v>
      </c>
      <c r="D75" s="1" t="s">
        <v>792</v>
      </c>
      <c r="E75" s="4">
        <v>1</v>
      </c>
      <c r="F75" s="2" t="s">
        <v>26</v>
      </c>
      <c r="G75" s="4"/>
      <c r="H75" s="4"/>
    </row>
    <row r="76" spans="1:8" x14ac:dyDescent="0.25">
      <c r="A76" s="86" t="s">
        <v>37</v>
      </c>
      <c r="B76" s="4" t="s">
        <v>12</v>
      </c>
      <c r="C76" s="4">
        <v>4900700245</v>
      </c>
      <c r="D76" s="1" t="s">
        <v>797</v>
      </c>
      <c r="E76" s="4">
        <v>1</v>
      </c>
      <c r="F76" s="2" t="s">
        <v>26</v>
      </c>
      <c r="G76" s="4"/>
      <c r="H76" s="4"/>
    </row>
    <row r="77" spans="1:8" x14ac:dyDescent="0.25">
      <c r="A77" s="86" t="s">
        <v>37</v>
      </c>
      <c r="B77" s="4" t="s">
        <v>10</v>
      </c>
      <c r="C77" s="4">
        <v>4400045006</v>
      </c>
      <c r="D77" s="1" t="s">
        <v>306</v>
      </c>
      <c r="E77" s="4">
        <v>1</v>
      </c>
      <c r="F77" s="5" t="s">
        <v>26</v>
      </c>
      <c r="G77" s="4"/>
      <c r="H77" s="4"/>
    </row>
    <row r="78" spans="1:8" x14ac:dyDescent="0.25">
      <c r="A78" s="86" t="s">
        <v>37</v>
      </c>
      <c r="B78" s="4" t="s">
        <v>10</v>
      </c>
      <c r="C78" s="4">
        <v>4900090554</v>
      </c>
      <c r="D78" s="1" t="s">
        <v>296</v>
      </c>
      <c r="E78" s="4">
        <v>2</v>
      </c>
      <c r="F78" s="5" t="s">
        <v>26</v>
      </c>
      <c r="G78" s="4"/>
      <c r="H78" s="4"/>
    </row>
    <row r="79" spans="1:8" x14ac:dyDescent="0.25">
      <c r="A79" s="86" t="s">
        <v>37</v>
      </c>
      <c r="B79" s="4" t="s">
        <v>10</v>
      </c>
      <c r="C79" s="4">
        <v>4900090617</v>
      </c>
      <c r="D79" s="1" t="s">
        <v>795</v>
      </c>
      <c r="E79" s="4">
        <v>1</v>
      </c>
      <c r="F79" s="5" t="s">
        <v>26</v>
      </c>
      <c r="G79" s="4"/>
      <c r="H79" s="4"/>
    </row>
    <row r="80" spans="1:8" x14ac:dyDescent="0.25">
      <c r="A80" s="86" t="s">
        <v>37</v>
      </c>
      <c r="B80" s="4" t="s">
        <v>10</v>
      </c>
      <c r="C80" s="4">
        <v>4900090618</v>
      </c>
      <c r="D80" s="1" t="s">
        <v>786</v>
      </c>
      <c r="E80" s="4">
        <v>9</v>
      </c>
      <c r="F80" s="5" t="s">
        <v>26</v>
      </c>
      <c r="G80" s="4"/>
      <c r="H80" s="4"/>
    </row>
    <row r="81" spans="1:8" x14ac:dyDescent="0.25">
      <c r="A81" s="86" t="s">
        <v>37</v>
      </c>
      <c r="B81" s="4" t="s">
        <v>10</v>
      </c>
      <c r="C81" s="4">
        <v>4900090619</v>
      </c>
      <c r="D81" s="1" t="s">
        <v>787</v>
      </c>
      <c r="E81" s="4">
        <v>9</v>
      </c>
      <c r="F81" s="5" t="s">
        <v>26</v>
      </c>
      <c r="G81" s="4"/>
      <c r="H81" s="4"/>
    </row>
    <row r="82" spans="1:8" x14ac:dyDescent="0.25">
      <c r="A82" s="86" t="s">
        <v>37</v>
      </c>
      <c r="B82" s="4" t="s">
        <v>10</v>
      </c>
      <c r="C82" s="4">
        <v>4900090620</v>
      </c>
      <c r="D82" s="1" t="s">
        <v>788</v>
      </c>
      <c r="E82" s="4">
        <v>9</v>
      </c>
      <c r="F82" s="5" t="s">
        <v>26</v>
      </c>
      <c r="G82" s="4"/>
      <c r="H82" s="4"/>
    </row>
    <row r="83" spans="1:8" x14ac:dyDescent="0.25">
      <c r="A83" s="86" t="s">
        <v>37</v>
      </c>
      <c r="B83" s="4" t="s">
        <v>10</v>
      </c>
      <c r="C83" s="4">
        <v>4900090622</v>
      </c>
      <c r="D83" s="1" t="s">
        <v>789</v>
      </c>
      <c r="E83" s="4">
        <v>9</v>
      </c>
      <c r="F83" s="5" t="s">
        <v>26</v>
      </c>
      <c r="G83" s="4"/>
      <c r="H83" s="4"/>
    </row>
    <row r="84" spans="1:8" x14ac:dyDescent="0.25">
      <c r="A84" s="86" t="s">
        <v>37</v>
      </c>
      <c r="B84" s="4" t="s">
        <v>10</v>
      </c>
      <c r="C84" s="4">
        <v>4900090630</v>
      </c>
      <c r="D84" s="1" t="s">
        <v>793</v>
      </c>
      <c r="E84" s="4">
        <v>18</v>
      </c>
      <c r="F84" s="5" t="s">
        <v>26</v>
      </c>
      <c r="G84" s="4"/>
      <c r="H84" s="4"/>
    </row>
    <row r="85" spans="1:8" x14ac:dyDescent="0.25">
      <c r="A85" s="86" t="s">
        <v>37</v>
      </c>
      <c r="B85" s="4" t="s">
        <v>10</v>
      </c>
      <c r="C85" s="4">
        <v>4900090641</v>
      </c>
      <c r="D85" s="1" t="s">
        <v>796</v>
      </c>
      <c r="E85" s="4">
        <v>1</v>
      </c>
      <c r="F85" s="5" t="s">
        <v>26</v>
      </c>
      <c r="G85" s="4"/>
      <c r="H85" s="4"/>
    </row>
    <row r="86" spans="1:8" x14ac:dyDescent="0.25">
      <c r="A86" s="86" t="s">
        <v>37</v>
      </c>
      <c r="B86" s="4" t="s">
        <v>10</v>
      </c>
      <c r="C86" s="4">
        <v>4900090770</v>
      </c>
      <c r="D86" s="1" t="s">
        <v>790</v>
      </c>
      <c r="E86" s="4">
        <v>3</v>
      </c>
      <c r="F86" s="5" t="s">
        <v>26</v>
      </c>
      <c r="G86" s="4"/>
      <c r="H86" s="4"/>
    </row>
    <row r="87" spans="1:8" x14ac:dyDescent="0.25">
      <c r="A87" s="86" t="s">
        <v>37</v>
      </c>
      <c r="B87" s="4" t="s">
        <v>10</v>
      </c>
      <c r="C87" s="4">
        <v>4900090778</v>
      </c>
      <c r="D87" s="1" t="s">
        <v>794</v>
      </c>
      <c r="E87" s="4">
        <v>6</v>
      </c>
      <c r="F87" s="5" t="s">
        <v>26</v>
      </c>
      <c r="G87" s="4"/>
      <c r="H87" s="4"/>
    </row>
    <row r="88" spans="1:8" x14ac:dyDescent="0.25">
      <c r="A88" s="86" t="s">
        <v>37</v>
      </c>
      <c r="B88" s="4" t="s">
        <v>39</v>
      </c>
      <c r="C88" s="4">
        <v>4900054868</v>
      </c>
      <c r="D88" s="1" t="s">
        <v>40</v>
      </c>
      <c r="E88" s="4">
        <v>16</v>
      </c>
      <c r="F88" s="2" t="s">
        <v>26</v>
      </c>
      <c r="G88" s="4"/>
      <c r="H88" s="4"/>
    </row>
    <row r="89" spans="1:8" x14ac:dyDescent="0.25">
      <c r="A89" s="86" t="s">
        <v>37</v>
      </c>
      <c r="B89" s="4" t="s">
        <v>39</v>
      </c>
      <c r="C89" s="4">
        <v>4900055088</v>
      </c>
      <c r="D89" s="1" t="s">
        <v>267</v>
      </c>
      <c r="E89" s="4">
        <v>4</v>
      </c>
      <c r="F89" s="2" t="s">
        <v>26</v>
      </c>
      <c r="G89" s="4"/>
      <c r="H89" s="4"/>
    </row>
    <row r="90" spans="1:8" x14ac:dyDescent="0.25">
      <c r="A90" s="86" t="s">
        <v>3</v>
      </c>
      <c r="B90" s="2" t="s">
        <v>6</v>
      </c>
      <c r="C90" s="2">
        <v>4900060180</v>
      </c>
      <c r="D90" s="3" t="s">
        <v>798</v>
      </c>
      <c r="E90" s="4">
        <v>3</v>
      </c>
      <c r="F90" s="2" t="s">
        <v>26</v>
      </c>
      <c r="G90" s="4"/>
      <c r="H90" s="4"/>
    </row>
    <row r="91" spans="1:8" x14ac:dyDescent="0.25">
      <c r="A91" s="86" t="s">
        <v>3</v>
      </c>
      <c r="B91" s="2" t="s">
        <v>12</v>
      </c>
      <c r="C91" s="2">
        <v>4900060159</v>
      </c>
      <c r="D91" s="3" t="s">
        <v>445</v>
      </c>
      <c r="E91" s="4">
        <v>17</v>
      </c>
      <c r="F91" s="2" t="s">
        <v>26</v>
      </c>
      <c r="G91" s="4"/>
      <c r="H91" s="4"/>
    </row>
    <row r="92" spans="1:8" x14ac:dyDescent="0.25">
      <c r="A92" s="86" t="s">
        <v>3</v>
      </c>
      <c r="B92" s="2" t="s">
        <v>12</v>
      </c>
      <c r="C92" s="2">
        <v>4900060187</v>
      </c>
      <c r="D92" s="3" t="s">
        <v>446</v>
      </c>
      <c r="E92" s="5">
        <v>1</v>
      </c>
      <c r="F92" s="2" t="s">
        <v>26</v>
      </c>
      <c r="G92" s="4"/>
      <c r="H92" s="4"/>
    </row>
    <row r="93" spans="1:8" s="220" customFormat="1" x14ac:dyDescent="0.25">
      <c r="A93" s="86" t="s">
        <v>3</v>
      </c>
      <c r="B93" s="2" t="s">
        <v>10</v>
      </c>
      <c r="C93" s="2">
        <v>4900060145</v>
      </c>
      <c r="D93" s="3" t="s">
        <v>443</v>
      </c>
      <c r="E93" s="4">
        <v>42</v>
      </c>
      <c r="F93" s="5" t="s">
        <v>26</v>
      </c>
      <c r="G93" s="4"/>
      <c r="H93" s="4"/>
    </row>
    <row r="94" spans="1:8" s="220" customFormat="1" x14ac:dyDescent="0.25">
      <c r="A94" s="86" t="s">
        <v>3</v>
      </c>
      <c r="B94" s="2" t="s">
        <v>10</v>
      </c>
      <c r="C94" s="2">
        <v>4900060148</v>
      </c>
      <c r="D94" s="3" t="s">
        <v>664</v>
      </c>
      <c r="E94" s="4">
        <v>22</v>
      </c>
      <c r="F94" s="5" t="s">
        <v>26</v>
      </c>
      <c r="G94" s="4"/>
      <c r="H94" s="4"/>
    </row>
    <row r="95" spans="1:8" s="220" customFormat="1" x14ac:dyDescent="0.25">
      <c r="A95" s="86" t="s">
        <v>3</v>
      </c>
      <c r="B95" s="2" t="s">
        <v>10</v>
      </c>
      <c r="C95" s="2">
        <v>4900060149</v>
      </c>
      <c r="D95" s="3" t="s">
        <v>444</v>
      </c>
      <c r="E95" s="4">
        <v>20</v>
      </c>
      <c r="F95" s="5" t="s">
        <v>26</v>
      </c>
      <c r="G95" s="4"/>
      <c r="H95" s="4"/>
    </row>
    <row r="96" spans="1:8" s="220" customFormat="1" x14ac:dyDescent="0.25">
      <c r="A96" s="86" t="s">
        <v>3</v>
      </c>
      <c r="B96" s="2" t="s">
        <v>10</v>
      </c>
      <c r="C96" s="2">
        <v>4900060168</v>
      </c>
      <c r="D96" s="3" t="s">
        <v>447</v>
      </c>
      <c r="E96" s="5">
        <v>38</v>
      </c>
      <c r="F96" s="5" t="s">
        <v>26</v>
      </c>
      <c r="G96" s="4"/>
      <c r="H96" s="4"/>
    </row>
    <row r="97" spans="1:8" s="220" customFormat="1" x14ac:dyDescent="0.25">
      <c r="A97" s="86" t="s">
        <v>3</v>
      </c>
      <c r="B97" s="2" t="s">
        <v>10</v>
      </c>
      <c r="C97" s="2">
        <v>4900060195</v>
      </c>
      <c r="D97" s="3" t="s">
        <v>448</v>
      </c>
      <c r="E97" s="5">
        <v>3</v>
      </c>
      <c r="F97" s="5" t="s">
        <v>26</v>
      </c>
      <c r="G97" s="4"/>
      <c r="H97" s="4"/>
    </row>
    <row r="98" spans="1:8" s="220" customFormat="1" x14ac:dyDescent="0.25">
      <c r="A98" s="86" t="s">
        <v>3</v>
      </c>
      <c r="B98" s="2" t="s">
        <v>10</v>
      </c>
      <c r="C98" s="2">
        <v>4900060271</v>
      </c>
      <c r="D98" s="3" t="s">
        <v>259</v>
      </c>
      <c r="E98" s="5">
        <v>38</v>
      </c>
      <c r="F98" s="5" t="s">
        <v>26</v>
      </c>
      <c r="G98" s="4"/>
      <c r="H98" s="4"/>
    </row>
    <row r="99" spans="1:8" s="220" customFormat="1" x14ac:dyDescent="0.25">
      <c r="A99" s="86" t="s">
        <v>3</v>
      </c>
      <c r="B99" s="2" t="s">
        <v>10</v>
      </c>
      <c r="C99" s="2">
        <v>4900062882</v>
      </c>
      <c r="D99" s="3" t="s">
        <v>449</v>
      </c>
      <c r="E99" s="4">
        <v>5</v>
      </c>
      <c r="F99" s="5" t="s">
        <v>26</v>
      </c>
      <c r="G99" s="4"/>
      <c r="H99" s="4"/>
    </row>
    <row r="100" spans="1:8" s="220" customFormat="1" x14ac:dyDescent="0.25">
      <c r="A100" s="86" t="s">
        <v>3</v>
      </c>
      <c r="B100" s="2" t="s">
        <v>10</v>
      </c>
      <c r="C100" s="2">
        <v>4900070078</v>
      </c>
      <c r="D100" s="3" t="s">
        <v>149</v>
      </c>
      <c r="E100" s="5">
        <v>3</v>
      </c>
      <c r="F100" s="5" t="s">
        <v>26</v>
      </c>
      <c r="G100" s="4"/>
      <c r="H100" s="4"/>
    </row>
    <row r="101" spans="1:8" s="220" customFormat="1" x14ac:dyDescent="0.25">
      <c r="A101" s="86" t="s">
        <v>3</v>
      </c>
      <c r="B101" s="2" t="s">
        <v>10</v>
      </c>
      <c r="C101" s="2">
        <v>4900090963</v>
      </c>
      <c r="D101" s="3" t="s">
        <v>317</v>
      </c>
      <c r="E101" s="5">
        <v>13</v>
      </c>
      <c r="F101" s="5" t="s">
        <v>26</v>
      </c>
      <c r="G101" s="4"/>
      <c r="H101" s="4"/>
    </row>
    <row r="102" spans="1:8" s="220" customFormat="1" x14ac:dyDescent="0.25">
      <c r="A102" s="86" t="s">
        <v>3</v>
      </c>
      <c r="B102" s="2" t="s">
        <v>10</v>
      </c>
      <c r="C102" s="2">
        <v>4900091248</v>
      </c>
      <c r="D102" s="3" t="s">
        <v>297</v>
      </c>
      <c r="E102" s="5">
        <v>4</v>
      </c>
      <c r="F102" s="5" t="s">
        <v>26</v>
      </c>
      <c r="G102" s="4"/>
      <c r="H102" s="4"/>
    </row>
    <row r="103" spans="1:8" s="220" customFormat="1" x14ac:dyDescent="0.25">
      <c r="A103" s="86" t="s">
        <v>27</v>
      </c>
      <c r="B103" s="4" t="s">
        <v>6</v>
      </c>
      <c r="C103" s="4" t="s">
        <v>800</v>
      </c>
      <c r="D103" s="1" t="s">
        <v>801</v>
      </c>
      <c r="E103" s="4">
        <v>0</v>
      </c>
      <c r="F103" s="4" t="s">
        <v>26</v>
      </c>
      <c r="G103" s="4"/>
      <c r="H103" s="4"/>
    </row>
    <row r="104" spans="1:8" x14ac:dyDescent="0.25">
      <c r="A104" s="86" t="s">
        <v>27</v>
      </c>
      <c r="B104" s="4" t="s">
        <v>224</v>
      </c>
      <c r="C104" s="4">
        <v>3900039482</v>
      </c>
      <c r="D104" s="1" t="s">
        <v>799</v>
      </c>
      <c r="E104" s="4">
        <v>0</v>
      </c>
      <c r="F104" s="4" t="s">
        <v>26</v>
      </c>
      <c r="G104" s="4"/>
      <c r="H104" s="4"/>
    </row>
    <row r="105" spans="1:8" x14ac:dyDescent="0.25">
      <c r="A105" s="86" t="s">
        <v>27</v>
      </c>
      <c r="B105" s="4" t="s">
        <v>10</v>
      </c>
      <c r="C105" s="4">
        <v>4400045624</v>
      </c>
      <c r="D105" s="1" t="s">
        <v>802</v>
      </c>
      <c r="E105" s="4">
        <v>0</v>
      </c>
      <c r="F105" s="5" t="s">
        <v>26</v>
      </c>
      <c r="G105" s="4"/>
      <c r="H105" s="4"/>
    </row>
    <row r="106" spans="1:8" x14ac:dyDescent="0.25">
      <c r="A106" s="86" t="s">
        <v>27</v>
      </c>
      <c r="B106" s="4" t="s">
        <v>10</v>
      </c>
      <c r="C106" s="4">
        <v>4400045625</v>
      </c>
      <c r="D106" s="1" t="s">
        <v>803</v>
      </c>
      <c r="E106" s="4">
        <v>0</v>
      </c>
      <c r="F106" s="5" t="s">
        <v>26</v>
      </c>
      <c r="G106" s="4"/>
      <c r="H106" s="4"/>
    </row>
    <row r="107" spans="1:8" x14ac:dyDescent="0.25">
      <c r="A107" s="86" t="s">
        <v>27</v>
      </c>
      <c r="B107" s="4" t="s">
        <v>10</v>
      </c>
      <c r="C107" s="4">
        <v>4400045633</v>
      </c>
      <c r="D107" s="1" t="s">
        <v>804</v>
      </c>
      <c r="E107" s="4">
        <v>0</v>
      </c>
      <c r="F107" s="5" t="s">
        <v>26</v>
      </c>
      <c r="G107" s="4"/>
      <c r="H107" s="4"/>
    </row>
    <row r="108" spans="1:8" x14ac:dyDescent="0.25">
      <c r="A108" s="86" t="s">
        <v>27</v>
      </c>
      <c r="B108" s="4" t="s">
        <v>10</v>
      </c>
      <c r="C108" s="4">
        <v>4400045634</v>
      </c>
      <c r="D108" s="1" t="s">
        <v>805</v>
      </c>
      <c r="E108" s="4">
        <v>0</v>
      </c>
      <c r="F108" s="5" t="s">
        <v>26</v>
      </c>
      <c r="G108" s="4"/>
      <c r="H108" s="4"/>
    </row>
    <row r="109" spans="1:8" s="220" customFormat="1" x14ac:dyDescent="0.25">
      <c r="A109" s="86" t="s">
        <v>4</v>
      </c>
      <c r="B109" s="4" t="s">
        <v>6</v>
      </c>
      <c r="C109" s="4">
        <v>4900050724</v>
      </c>
      <c r="D109" s="1" t="s">
        <v>502</v>
      </c>
      <c r="E109" s="4">
        <v>59</v>
      </c>
      <c r="F109" s="4" t="s">
        <v>26</v>
      </c>
      <c r="G109" s="4"/>
      <c r="H109" s="4"/>
    </row>
    <row r="110" spans="1:8" s="220" customFormat="1" x14ac:dyDescent="0.25">
      <c r="A110" s="86" t="s">
        <v>4</v>
      </c>
      <c r="B110" s="4" t="s">
        <v>12</v>
      </c>
      <c r="C110" s="4">
        <v>4900057298</v>
      </c>
      <c r="D110" s="1" t="s">
        <v>546</v>
      </c>
      <c r="E110" s="4">
        <v>39</v>
      </c>
      <c r="F110" s="2" t="s">
        <v>26</v>
      </c>
      <c r="G110" s="4"/>
      <c r="H110" s="4"/>
    </row>
    <row r="111" spans="1:8" x14ac:dyDescent="0.25">
      <c r="A111" s="86" t="s">
        <v>4</v>
      </c>
      <c r="B111" s="4" t="s">
        <v>12</v>
      </c>
      <c r="C111" s="4">
        <v>4900057300</v>
      </c>
      <c r="D111" s="1" t="s">
        <v>547</v>
      </c>
      <c r="E111" s="4">
        <v>16</v>
      </c>
      <c r="F111" s="2" t="s">
        <v>26</v>
      </c>
      <c r="G111" s="4"/>
      <c r="H111" s="4"/>
    </row>
    <row r="112" spans="1:8" x14ac:dyDescent="0.25">
      <c r="A112" s="86" t="s">
        <v>4</v>
      </c>
      <c r="B112" s="4" t="s">
        <v>12</v>
      </c>
      <c r="C112" s="4">
        <v>7400075072</v>
      </c>
      <c r="D112" s="1" t="s">
        <v>548</v>
      </c>
      <c r="E112" s="4">
        <v>55</v>
      </c>
      <c r="F112" s="2" t="s">
        <v>26</v>
      </c>
      <c r="G112" s="4"/>
      <c r="H112" s="4"/>
    </row>
    <row r="113" spans="1:8" x14ac:dyDescent="0.25">
      <c r="A113" s="86" t="s">
        <v>4</v>
      </c>
      <c r="B113" s="4" t="s">
        <v>12</v>
      </c>
      <c r="C113" s="4">
        <v>7400075076</v>
      </c>
      <c r="D113" s="1" t="s">
        <v>545</v>
      </c>
      <c r="E113" s="4">
        <v>39</v>
      </c>
      <c r="F113" s="2" t="s">
        <v>26</v>
      </c>
      <c r="G113" s="4"/>
      <c r="H113" s="4"/>
    </row>
    <row r="114" spans="1:8" x14ac:dyDescent="0.25">
      <c r="A114" s="86" t="s">
        <v>4</v>
      </c>
      <c r="B114" s="4" t="s">
        <v>10</v>
      </c>
      <c r="C114" s="4">
        <v>4900050733</v>
      </c>
      <c r="D114" s="1" t="s">
        <v>549</v>
      </c>
      <c r="E114" s="4">
        <v>8</v>
      </c>
      <c r="F114" s="5" t="s">
        <v>26</v>
      </c>
      <c r="G114" s="4"/>
      <c r="H114" s="4"/>
    </row>
    <row r="115" spans="1:8" x14ac:dyDescent="0.25">
      <c r="A115" s="86" t="s">
        <v>4</v>
      </c>
      <c r="B115" s="4" t="s">
        <v>10</v>
      </c>
      <c r="C115" s="4">
        <v>4900055600</v>
      </c>
      <c r="D115" s="1" t="s">
        <v>550</v>
      </c>
      <c r="E115" s="4">
        <v>83</v>
      </c>
      <c r="F115" s="5" t="s">
        <v>26</v>
      </c>
      <c r="G115" s="4"/>
      <c r="H115" s="4"/>
    </row>
    <row r="116" spans="1:8" x14ac:dyDescent="0.25">
      <c r="A116" s="86" t="s">
        <v>41</v>
      </c>
      <c r="B116" s="4" t="s">
        <v>80</v>
      </c>
      <c r="C116" s="4">
        <v>4900054338</v>
      </c>
      <c r="D116" s="1" t="s">
        <v>561</v>
      </c>
      <c r="E116" s="4">
        <v>3</v>
      </c>
      <c r="F116" s="2" t="s">
        <v>26</v>
      </c>
      <c r="G116" s="4"/>
      <c r="H116" s="4"/>
    </row>
    <row r="117" spans="1:8" x14ac:dyDescent="0.25">
      <c r="A117" s="86" t="s">
        <v>41</v>
      </c>
      <c r="B117" s="4" t="s">
        <v>12</v>
      </c>
      <c r="C117" s="4">
        <v>4900091628</v>
      </c>
      <c r="D117" s="1" t="s">
        <v>556</v>
      </c>
      <c r="E117" s="4">
        <v>9</v>
      </c>
      <c r="F117" s="2" t="s">
        <v>26</v>
      </c>
      <c r="G117" s="4"/>
      <c r="H117" s="4"/>
    </row>
    <row r="118" spans="1:8" x14ac:dyDescent="0.25">
      <c r="A118" s="86" t="s">
        <v>41</v>
      </c>
      <c r="B118" s="4" t="s">
        <v>12</v>
      </c>
      <c r="C118" s="4">
        <v>4900091828</v>
      </c>
      <c r="D118" s="1" t="s">
        <v>557</v>
      </c>
      <c r="E118" s="4">
        <v>16</v>
      </c>
      <c r="F118" s="2" t="s">
        <v>26</v>
      </c>
      <c r="G118" s="4"/>
      <c r="H118" s="4"/>
    </row>
    <row r="119" spans="1:8" x14ac:dyDescent="0.25">
      <c r="A119" s="86" t="s">
        <v>41</v>
      </c>
      <c r="B119" s="4" t="s">
        <v>12</v>
      </c>
      <c r="C119" s="4">
        <v>4900091831</v>
      </c>
      <c r="D119" s="1" t="s">
        <v>551</v>
      </c>
      <c r="E119" s="4">
        <v>4</v>
      </c>
      <c r="F119" s="2" t="s">
        <v>26</v>
      </c>
      <c r="G119" s="4"/>
      <c r="H119" s="4"/>
    </row>
    <row r="120" spans="1:8" x14ac:dyDescent="0.25">
      <c r="A120" s="86" t="s">
        <v>41</v>
      </c>
      <c r="B120" s="4" t="s">
        <v>12</v>
      </c>
      <c r="C120" s="4">
        <v>4900091834</v>
      </c>
      <c r="D120" s="1" t="s">
        <v>558</v>
      </c>
      <c r="E120" s="4">
        <v>1</v>
      </c>
      <c r="F120" s="2" t="s">
        <v>26</v>
      </c>
      <c r="G120" s="4"/>
      <c r="H120" s="4"/>
    </row>
    <row r="121" spans="1:8" x14ac:dyDescent="0.25">
      <c r="A121" s="86" t="s">
        <v>41</v>
      </c>
      <c r="B121" s="4" t="s">
        <v>12</v>
      </c>
      <c r="C121" s="4">
        <v>4900091838</v>
      </c>
      <c r="D121" s="1" t="s">
        <v>552</v>
      </c>
      <c r="E121" s="4">
        <v>11</v>
      </c>
      <c r="F121" s="2" t="s">
        <v>26</v>
      </c>
      <c r="G121" s="4"/>
      <c r="H121" s="4"/>
    </row>
    <row r="122" spans="1:8" x14ac:dyDescent="0.25">
      <c r="A122" s="86" t="s">
        <v>41</v>
      </c>
      <c r="B122" s="4" t="s">
        <v>12</v>
      </c>
      <c r="C122" s="4">
        <v>4900091841</v>
      </c>
      <c r="D122" s="1" t="s">
        <v>559</v>
      </c>
      <c r="E122" s="4">
        <v>3</v>
      </c>
      <c r="F122" s="2" t="s">
        <v>26</v>
      </c>
      <c r="G122" s="4"/>
      <c r="H122" s="4"/>
    </row>
    <row r="123" spans="1:8" x14ac:dyDescent="0.25">
      <c r="A123" s="86" t="s">
        <v>41</v>
      </c>
      <c r="B123" s="4" t="s">
        <v>10</v>
      </c>
      <c r="C123" s="4">
        <v>4900090906</v>
      </c>
      <c r="D123" s="1" t="s">
        <v>154</v>
      </c>
      <c r="E123" s="4">
        <v>32</v>
      </c>
      <c r="F123" s="5" t="s">
        <v>26</v>
      </c>
      <c r="G123" s="4"/>
      <c r="H123" s="4"/>
    </row>
    <row r="124" spans="1:8" x14ac:dyDescent="0.25">
      <c r="A124" s="86" t="s">
        <v>41</v>
      </c>
      <c r="B124" s="4" t="s">
        <v>10</v>
      </c>
      <c r="C124" s="4">
        <v>4900091624</v>
      </c>
      <c r="D124" s="1" t="s">
        <v>562</v>
      </c>
      <c r="E124" s="4">
        <v>32</v>
      </c>
      <c r="F124" s="5" t="s">
        <v>26</v>
      </c>
      <c r="G124" s="4"/>
      <c r="H124" s="4"/>
    </row>
    <row r="125" spans="1:8" x14ac:dyDescent="0.25">
      <c r="A125" s="86" t="s">
        <v>41</v>
      </c>
      <c r="B125" s="4" t="s">
        <v>10</v>
      </c>
      <c r="C125" s="4">
        <v>4900091692</v>
      </c>
      <c r="D125" s="1" t="s">
        <v>554</v>
      </c>
      <c r="E125" s="4">
        <v>4</v>
      </c>
      <c r="F125" s="5" t="s">
        <v>26</v>
      </c>
      <c r="G125" s="4"/>
      <c r="H125" s="4"/>
    </row>
    <row r="126" spans="1:8" x14ac:dyDescent="0.25">
      <c r="A126" s="86" t="s">
        <v>41</v>
      </c>
      <c r="B126" s="4" t="s">
        <v>10</v>
      </c>
      <c r="C126" s="4">
        <v>4900091703</v>
      </c>
      <c r="D126" s="1" t="s">
        <v>555</v>
      </c>
      <c r="E126" s="4">
        <v>11</v>
      </c>
      <c r="F126" s="5" t="s">
        <v>26</v>
      </c>
      <c r="G126" s="4"/>
      <c r="H126" s="4"/>
    </row>
    <row r="127" spans="1:8" x14ac:dyDescent="0.25">
      <c r="A127" s="86" t="s">
        <v>41</v>
      </c>
      <c r="B127" s="4" t="s">
        <v>10</v>
      </c>
      <c r="C127" s="4">
        <v>4900700555</v>
      </c>
      <c r="D127" s="1" t="s">
        <v>504</v>
      </c>
      <c r="E127" s="4">
        <v>32</v>
      </c>
      <c r="F127" s="5" t="s">
        <v>26</v>
      </c>
      <c r="G127" s="4"/>
      <c r="H127" s="4"/>
    </row>
    <row r="128" spans="1:8" x14ac:dyDescent="0.25">
      <c r="A128" s="86" t="s">
        <v>41</v>
      </c>
      <c r="B128" s="4" t="s">
        <v>33</v>
      </c>
      <c r="C128" s="4">
        <v>4900091683</v>
      </c>
      <c r="D128" s="1" t="s">
        <v>553</v>
      </c>
      <c r="E128" s="4">
        <v>48</v>
      </c>
      <c r="F128" s="2" t="s">
        <v>26</v>
      </c>
      <c r="G128" s="4"/>
      <c r="H128" s="4"/>
    </row>
    <row r="129" spans="1:8" x14ac:dyDescent="0.25">
      <c r="A129" s="86" t="s">
        <v>41</v>
      </c>
      <c r="B129" s="4" t="s">
        <v>39</v>
      </c>
      <c r="C129" s="4">
        <v>4900700563</v>
      </c>
      <c r="D129" s="1" t="s">
        <v>560</v>
      </c>
      <c r="E129" s="4">
        <v>4</v>
      </c>
      <c r="F129" s="2" t="s">
        <v>26</v>
      </c>
      <c r="G129" s="4"/>
      <c r="H129" s="4"/>
    </row>
    <row r="130" spans="1:8" x14ac:dyDescent="0.25">
      <c r="A130" s="86" t="s">
        <v>41</v>
      </c>
      <c r="B130" s="4" t="s">
        <v>39</v>
      </c>
      <c r="C130" s="4">
        <v>4900700563</v>
      </c>
      <c r="D130" s="1" t="s">
        <v>560</v>
      </c>
      <c r="E130" s="4">
        <v>3</v>
      </c>
      <c r="F130" s="2" t="s">
        <v>26</v>
      </c>
      <c r="G130" s="4"/>
      <c r="H130" s="4"/>
    </row>
    <row r="131" spans="1:8" ht="25.2" x14ac:dyDescent="0.25">
      <c r="A131" s="86" t="s">
        <v>42</v>
      </c>
      <c r="B131" s="4" t="s">
        <v>43</v>
      </c>
      <c r="C131" s="6">
        <v>9000090814</v>
      </c>
      <c r="D131" s="111" t="s">
        <v>44</v>
      </c>
      <c r="E131" s="6">
        <v>40</v>
      </c>
      <c r="F131" s="6" t="s">
        <v>26</v>
      </c>
      <c r="G131" s="6"/>
      <c r="H131" s="160"/>
    </row>
    <row r="132" spans="1:8" ht="23.25" customHeight="1" x14ac:dyDescent="0.25">
      <c r="A132" s="86" t="s">
        <v>42</v>
      </c>
      <c r="B132" s="4" t="s">
        <v>10</v>
      </c>
      <c r="C132" s="6">
        <v>4900072227</v>
      </c>
      <c r="D132" s="111" t="s">
        <v>373</v>
      </c>
      <c r="E132" s="6">
        <v>18</v>
      </c>
      <c r="F132" s="5" t="s">
        <v>26</v>
      </c>
      <c r="G132" s="6"/>
      <c r="H132" s="160" t="s">
        <v>331</v>
      </c>
    </row>
    <row r="133" spans="1:8" ht="25.2" x14ac:dyDescent="0.25">
      <c r="A133" s="86" t="s">
        <v>42</v>
      </c>
      <c r="B133" s="4" t="s">
        <v>10</v>
      </c>
      <c r="C133" s="6">
        <v>4900072228</v>
      </c>
      <c r="D133" s="111" t="s">
        <v>375</v>
      </c>
      <c r="E133" s="6">
        <v>1</v>
      </c>
      <c r="F133" s="5" t="s">
        <v>26</v>
      </c>
      <c r="G133" s="6"/>
      <c r="H133" s="145"/>
    </row>
    <row r="134" spans="1:8" ht="25.2" x14ac:dyDescent="0.25">
      <c r="A134" s="86" t="s">
        <v>42</v>
      </c>
      <c r="B134" s="4" t="s">
        <v>10</v>
      </c>
      <c r="C134" s="6">
        <v>4900072232</v>
      </c>
      <c r="D134" s="111" t="s">
        <v>376</v>
      </c>
      <c r="E134" s="6">
        <v>11</v>
      </c>
      <c r="F134" s="5" t="s">
        <v>26</v>
      </c>
      <c r="G134" s="6"/>
      <c r="H134" s="145"/>
    </row>
    <row r="135" spans="1:8" ht="25.2" x14ac:dyDescent="0.25">
      <c r="A135" s="86" t="s">
        <v>42</v>
      </c>
      <c r="B135" s="4" t="s">
        <v>10</v>
      </c>
      <c r="C135" s="6">
        <v>4900072239</v>
      </c>
      <c r="D135" s="111" t="s">
        <v>374</v>
      </c>
      <c r="E135" s="6">
        <v>2</v>
      </c>
      <c r="F135" s="5" t="s">
        <v>26</v>
      </c>
      <c r="G135" s="6"/>
      <c r="H135" s="145"/>
    </row>
    <row r="136" spans="1:8" ht="25.2" x14ac:dyDescent="0.25">
      <c r="A136" s="86" t="s">
        <v>42</v>
      </c>
      <c r="B136" s="4" t="s">
        <v>10</v>
      </c>
      <c r="C136" s="6">
        <v>4900072242</v>
      </c>
      <c r="D136" s="111" t="s">
        <v>377</v>
      </c>
      <c r="E136" s="6">
        <v>1</v>
      </c>
      <c r="F136" s="5" t="s">
        <v>26</v>
      </c>
      <c r="G136" s="6"/>
      <c r="H136" s="145"/>
    </row>
    <row r="137" spans="1:8" ht="25.2" x14ac:dyDescent="0.25">
      <c r="A137" s="86" t="s">
        <v>42</v>
      </c>
      <c r="B137" s="4" t="s">
        <v>10</v>
      </c>
      <c r="C137" s="6">
        <v>4900072245</v>
      </c>
      <c r="D137" s="111" t="s">
        <v>381</v>
      </c>
      <c r="E137" s="161">
        <v>1</v>
      </c>
      <c r="F137" s="5" t="s">
        <v>26</v>
      </c>
      <c r="G137" s="6"/>
      <c r="H137" s="145"/>
    </row>
    <row r="138" spans="1:8" ht="25.2" x14ac:dyDescent="0.25">
      <c r="A138" s="86" t="s">
        <v>42</v>
      </c>
      <c r="B138" s="4" t="s">
        <v>39</v>
      </c>
      <c r="C138" s="6">
        <v>4900072237</v>
      </c>
      <c r="D138" s="111" t="s">
        <v>380</v>
      </c>
      <c r="E138" s="6">
        <v>9</v>
      </c>
      <c r="F138" s="5" t="s">
        <v>26</v>
      </c>
      <c r="G138" s="6"/>
      <c r="H138" s="145"/>
    </row>
    <row r="139" spans="1:8" ht="25.2" x14ac:dyDescent="0.25">
      <c r="A139" s="86" t="s">
        <v>42</v>
      </c>
      <c r="B139" s="4" t="s">
        <v>39</v>
      </c>
      <c r="C139" s="6">
        <v>4900072238</v>
      </c>
      <c r="D139" s="111" t="s">
        <v>378</v>
      </c>
      <c r="E139" s="6">
        <v>9</v>
      </c>
      <c r="F139" s="5" t="s">
        <v>26</v>
      </c>
      <c r="G139" s="6"/>
      <c r="H139" s="145"/>
    </row>
    <row r="140" spans="1:8" ht="25.2" x14ac:dyDescent="0.25">
      <c r="A140" s="86" t="s">
        <v>42</v>
      </c>
      <c r="B140" s="4" t="s">
        <v>39</v>
      </c>
      <c r="C140" s="6">
        <v>4900072248</v>
      </c>
      <c r="D140" s="111" t="s">
        <v>379</v>
      </c>
      <c r="E140" s="6">
        <v>1</v>
      </c>
      <c r="F140" s="5" t="s">
        <v>26</v>
      </c>
      <c r="G140" s="6"/>
      <c r="H140" s="145"/>
    </row>
    <row r="141" spans="1:8" x14ac:dyDescent="0.25">
      <c r="A141" s="86" t="s">
        <v>130</v>
      </c>
      <c r="B141" s="4" t="s">
        <v>10</v>
      </c>
      <c r="C141" s="4">
        <v>7100077117</v>
      </c>
      <c r="D141" s="1" t="s">
        <v>450</v>
      </c>
      <c r="E141" s="4">
        <v>26</v>
      </c>
      <c r="F141" s="5" t="s">
        <v>26</v>
      </c>
      <c r="G141" s="4"/>
      <c r="H141" s="147"/>
    </row>
    <row r="142" spans="1:8" x14ac:dyDescent="0.25">
      <c r="A142" s="86" t="s">
        <v>130</v>
      </c>
      <c r="B142" s="4" t="s">
        <v>10</v>
      </c>
      <c r="C142" s="4">
        <v>7100077155</v>
      </c>
      <c r="D142" s="1" t="s">
        <v>452</v>
      </c>
      <c r="E142" s="4">
        <v>3</v>
      </c>
      <c r="F142" s="5" t="s">
        <v>26</v>
      </c>
      <c r="G142" s="4"/>
      <c r="H142" s="147"/>
    </row>
    <row r="143" spans="1:8" x14ac:dyDescent="0.25">
      <c r="A143" s="86" t="s">
        <v>130</v>
      </c>
      <c r="B143" s="4" t="s">
        <v>10</v>
      </c>
      <c r="C143" s="4">
        <v>7100077160</v>
      </c>
      <c r="D143" s="1" t="s">
        <v>453</v>
      </c>
      <c r="E143" s="4">
        <v>2</v>
      </c>
      <c r="F143" s="5" t="s">
        <v>26</v>
      </c>
      <c r="G143" s="4"/>
      <c r="H143" s="147"/>
    </row>
    <row r="144" spans="1:8" x14ac:dyDescent="0.25">
      <c r="A144" s="86" t="s">
        <v>130</v>
      </c>
      <c r="B144" s="4" t="s">
        <v>10</v>
      </c>
      <c r="C144" s="4">
        <v>7100077233</v>
      </c>
      <c r="D144" s="1" t="s">
        <v>454</v>
      </c>
      <c r="E144" s="4">
        <v>1</v>
      </c>
      <c r="F144" s="5" t="s">
        <v>26</v>
      </c>
      <c r="G144" s="4"/>
      <c r="H144" s="4"/>
    </row>
    <row r="145" spans="1:8" x14ac:dyDescent="0.25">
      <c r="A145" s="86" t="s">
        <v>130</v>
      </c>
      <c r="B145" s="4" t="s">
        <v>10</v>
      </c>
      <c r="C145" s="4">
        <v>7100077238</v>
      </c>
      <c r="D145" s="1" t="s">
        <v>451</v>
      </c>
      <c r="E145" s="4">
        <v>3</v>
      </c>
      <c r="F145" s="5" t="s">
        <v>26</v>
      </c>
      <c r="G145" s="4"/>
      <c r="H145" s="4"/>
    </row>
    <row r="146" spans="1:8" x14ac:dyDescent="0.25">
      <c r="A146" s="86" t="s">
        <v>130</v>
      </c>
      <c r="B146" s="4" t="s">
        <v>10</v>
      </c>
      <c r="C146" s="4">
        <v>7100077253</v>
      </c>
      <c r="D146" s="1" t="s">
        <v>455</v>
      </c>
      <c r="E146" s="4">
        <v>1</v>
      </c>
      <c r="F146" s="5" t="s">
        <v>26</v>
      </c>
      <c r="G146" s="4"/>
      <c r="H146" s="4"/>
    </row>
    <row r="147" spans="1:8" x14ac:dyDescent="0.25">
      <c r="A147" s="86" t="s">
        <v>45</v>
      </c>
      <c r="B147" s="4" t="s">
        <v>10</v>
      </c>
      <c r="C147" s="4">
        <v>4000048050</v>
      </c>
      <c r="D147" s="1" t="s">
        <v>155</v>
      </c>
      <c r="E147" s="4">
        <v>3</v>
      </c>
      <c r="F147" s="5" t="s">
        <v>26</v>
      </c>
      <c r="G147" s="4"/>
      <c r="H147" s="4"/>
    </row>
    <row r="148" spans="1:8" x14ac:dyDescent="0.25">
      <c r="A148" s="86" t="s">
        <v>45</v>
      </c>
      <c r="B148" s="4" t="s">
        <v>10</v>
      </c>
      <c r="C148" s="4">
        <v>4600040763</v>
      </c>
      <c r="D148" s="1" t="s">
        <v>806</v>
      </c>
      <c r="E148" s="4">
        <v>15</v>
      </c>
      <c r="F148" s="5" t="s">
        <v>26</v>
      </c>
      <c r="G148" s="4"/>
      <c r="H148" s="4"/>
    </row>
    <row r="149" spans="1:8" x14ac:dyDescent="0.25">
      <c r="A149" s="86" t="s">
        <v>45</v>
      </c>
      <c r="B149" s="4" t="s">
        <v>10</v>
      </c>
      <c r="C149" s="4">
        <v>4600040828</v>
      </c>
      <c r="D149" s="1" t="s">
        <v>807</v>
      </c>
      <c r="E149" s="4">
        <v>1</v>
      </c>
      <c r="F149" s="5" t="s">
        <v>26</v>
      </c>
      <c r="G149" s="4"/>
      <c r="H149" s="4"/>
    </row>
    <row r="150" spans="1:8" x14ac:dyDescent="0.25">
      <c r="A150" s="86" t="s">
        <v>45</v>
      </c>
      <c r="B150" s="4" t="s">
        <v>10</v>
      </c>
      <c r="C150" s="4">
        <v>4600040833</v>
      </c>
      <c r="D150" s="1" t="s">
        <v>808</v>
      </c>
      <c r="E150" s="4">
        <v>1</v>
      </c>
      <c r="F150" s="5" t="s">
        <v>26</v>
      </c>
      <c r="G150" s="4"/>
      <c r="H150" s="4"/>
    </row>
    <row r="151" spans="1:8" x14ac:dyDescent="0.25">
      <c r="A151" s="86" t="s">
        <v>45</v>
      </c>
      <c r="B151" s="4" t="s">
        <v>10</v>
      </c>
      <c r="C151" s="4">
        <v>4600040843</v>
      </c>
      <c r="D151" s="1" t="s">
        <v>809</v>
      </c>
      <c r="E151" s="4">
        <v>1</v>
      </c>
      <c r="F151" s="5" t="s">
        <v>26</v>
      </c>
      <c r="G151" s="4"/>
      <c r="H151" s="4"/>
    </row>
    <row r="152" spans="1:8" x14ac:dyDescent="0.25">
      <c r="A152" s="86" t="s">
        <v>45</v>
      </c>
      <c r="B152" s="4" t="s">
        <v>10</v>
      </c>
      <c r="C152" s="4">
        <v>5500055987</v>
      </c>
      <c r="D152" s="1" t="s">
        <v>384</v>
      </c>
      <c r="E152" s="4">
        <v>10</v>
      </c>
      <c r="F152" s="5" t="s">
        <v>26</v>
      </c>
      <c r="G152" s="4"/>
      <c r="H152" s="4"/>
    </row>
    <row r="153" spans="1:8" x14ac:dyDescent="0.25">
      <c r="A153" s="86" t="s">
        <v>45</v>
      </c>
      <c r="B153" s="4" t="s">
        <v>10</v>
      </c>
      <c r="C153" s="4">
        <v>6800068103</v>
      </c>
      <c r="D153" s="1" t="s">
        <v>123</v>
      </c>
      <c r="E153" s="4">
        <v>2</v>
      </c>
      <c r="F153" s="5" t="s">
        <v>26</v>
      </c>
      <c r="G153" s="4"/>
      <c r="H153" s="4"/>
    </row>
    <row r="154" spans="1:8" x14ac:dyDescent="0.25">
      <c r="A154" s="86" t="s">
        <v>45</v>
      </c>
      <c r="B154" s="4" t="s">
        <v>39</v>
      </c>
      <c r="C154" s="4">
        <v>4600040203</v>
      </c>
      <c r="D154" s="1" t="s">
        <v>383</v>
      </c>
      <c r="E154" s="4">
        <v>30</v>
      </c>
      <c r="F154" s="2" t="s">
        <v>26</v>
      </c>
      <c r="G154" s="4"/>
      <c r="H154" s="4"/>
    </row>
    <row r="155" spans="1:8" x14ac:dyDescent="0.25">
      <c r="A155" s="86" t="s">
        <v>45</v>
      </c>
      <c r="B155" s="4" t="s">
        <v>39</v>
      </c>
      <c r="C155" s="4">
        <v>6100061005</v>
      </c>
      <c r="D155" s="1" t="s">
        <v>382</v>
      </c>
      <c r="E155" s="4">
        <v>30</v>
      </c>
      <c r="F155" s="2" t="s">
        <v>26</v>
      </c>
      <c r="G155" s="4"/>
      <c r="H155" s="4"/>
    </row>
    <row r="156" spans="1:8" x14ac:dyDescent="0.25">
      <c r="A156" s="86" t="s">
        <v>32</v>
      </c>
      <c r="B156" s="4" t="s">
        <v>10</v>
      </c>
      <c r="C156" s="4">
        <v>4600046711</v>
      </c>
      <c r="D156" s="1" t="s">
        <v>810</v>
      </c>
      <c r="E156" s="4">
        <v>36</v>
      </c>
      <c r="F156" s="5" t="s">
        <v>26</v>
      </c>
      <c r="G156" s="4"/>
      <c r="H156" s="7"/>
    </row>
    <row r="157" spans="1:8" x14ac:dyDescent="0.25">
      <c r="A157" s="86" t="s">
        <v>32</v>
      </c>
      <c r="B157" s="4" t="s">
        <v>10</v>
      </c>
      <c r="C157" s="4">
        <v>4600046716</v>
      </c>
      <c r="D157" s="1" t="s">
        <v>811</v>
      </c>
      <c r="E157" s="4">
        <v>37</v>
      </c>
      <c r="F157" s="5" t="s">
        <v>26</v>
      </c>
      <c r="G157" s="4"/>
      <c r="H157" s="7"/>
    </row>
    <row r="158" spans="1:8" x14ac:dyDescent="0.25">
      <c r="A158" s="86" t="s">
        <v>32</v>
      </c>
      <c r="B158" s="4" t="s">
        <v>10</v>
      </c>
      <c r="C158" s="4">
        <v>4600046756</v>
      </c>
      <c r="D158" s="1" t="s">
        <v>812</v>
      </c>
      <c r="E158" s="4">
        <v>36</v>
      </c>
      <c r="F158" s="5" t="s">
        <v>26</v>
      </c>
      <c r="G158" s="4"/>
      <c r="H158" s="7"/>
    </row>
    <row r="159" spans="1:8" x14ac:dyDescent="0.25">
      <c r="A159" s="86" t="s">
        <v>32</v>
      </c>
      <c r="B159" s="4" t="s">
        <v>10</v>
      </c>
      <c r="C159" s="4">
        <v>4600046781</v>
      </c>
      <c r="D159" s="1" t="s">
        <v>813</v>
      </c>
      <c r="E159" s="4">
        <v>22</v>
      </c>
      <c r="F159" s="5" t="s">
        <v>26</v>
      </c>
      <c r="G159" s="4"/>
      <c r="H159" s="7"/>
    </row>
    <row r="160" spans="1:8" x14ac:dyDescent="0.25">
      <c r="A160" s="86" t="s">
        <v>57</v>
      </c>
      <c r="B160" s="4" t="s">
        <v>10</v>
      </c>
      <c r="C160" s="4">
        <v>7700077269</v>
      </c>
      <c r="D160" s="1" t="s">
        <v>819</v>
      </c>
      <c r="E160" s="4">
        <v>6</v>
      </c>
      <c r="F160" s="5" t="s">
        <v>26</v>
      </c>
      <c r="G160" s="4"/>
      <c r="H160" s="4"/>
    </row>
    <row r="161" spans="1:8" x14ac:dyDescent="0.25">
      <c r="A161" s="86" t="s">
        <v>57</v>
      </c>
      <c r="B161" s="4" t="s">
        <v>10</v>
      </c>
      <c r="C161" s="4">
        <v>7700077279</v>
      </c>
      <c r="D161" s="1" t="s">
        <v>820</v>
      </c>
      <c r="E161" s="4">
        <v>30</v>
      </c>
      <c r="F161" s="5" t="s">
        <v>26</v>
      </c>
      <c r="G161" s="4"/>
      <c r="H161" s="4"/>
    </row>
    <row r="162" spans="1:8" x14ac:dyDescent="0.25">
      <c r="A162" s="86" t="s">
        <v>57</v>
      </c>
      <c r="B162" s="4" t="s">
        <v>10</v>
      </c>
      <c r="C162" s="4">
        <v>7700078001</v>
      </c>
      <c r="D162" s="1" t="s">
        <v>815</v>
      </c>
      <c r="E162" s="4">
        <v>30</v>
      </c>
      <c r="F162" s="5" t="s">
        <v>26</v>
      </c>
      <c r="G162" s="4"/>
      <c r="H162" s="4"/>
    </row>
    <row r="163" spans="1:8" x14ac:dyDescent="0.25">
      <c r="A163" s="86" t="s">
        <v>57</v>
      </c>
      <c r="B163" s="4" t="s">
        <v>10</v>
      </c>
      <c r="C163" s="4">
        <v>7700078023</v>
      </c>
      <c r="D163" s="1" t="s">
        <v>817</v>
      </c>
      <c r="E163" s="4">
        <v>6</v>
      </c>
      <c r="F163" s="5" t="s">
        <v>26</v>
      </c>
      <c r="G163" s="4"/>
      <c r="H163" s="4"/>
    </row>
    <row r="164" spans="1:8" x14ac:dyDescent="0.25">
      <c r="A164" s="86" t="s">
        <v>57</v>
      </c>
      <c r="B164" s="4" t="s">
        <v>10</v>
      </c>
      <c r="C164" s="4">
        <v>7700078046</v>
      </c>
      <c r="D164" s="1" t="s">
        <v>814</v>
      </c>
      <c r="E164" s="4">
        <v>30</v>
      </c>
      <c r="F164" s="5" t="s">
        <v>26</v>
      </c>
      <c r="G164" s="4"/>
      <c r="H164" s="4"/>
    </row>
    <row r="165" spans="1:8" x14ac:dyDescent="0.25">
      <c r="A165" s="86" t="s">
        <v>57</v>
      </c>
      <c r="B165" s="4" t="s">
        <v>10</v>
      </c>
      <c r="C165" s="4">
        <v>7700078065</v>
      </c>
      <c r="D165" s="1" t="s">
        <v>818</v>
      </c>
      <c r="E165" s="4">
        <v>6</v>
      </c>
      <c r="F165" s="5" t="s">
        <v>26</v>
      </c>
      <c r="G165" s="4"/>
      <c r="H165" s="4"/>
    </row>
    <row r="166" spans="1:8" x14ac:dyDescent="0.25">
      <c r="A166" s="86" t="s">
        <v>57</v>
      </c>
      <c r="B166" s="4" t="s">
        <v>10</v>
      </c>
      <c r="C166" s="4">
        <v>8000080682</v>
      </c>
      <c r="D166" s="1" t="s">
        <v>821</v>
      </c>
      <c r="E166" s="4">
        <v>1</v>
      </c>
      <c r="F166" s="5" t="s">
        <v>26</v>
      </c>
      <c r="G166" s="4"/>
      <c r="H166" s="4"/>
    </row>
    <row r="167" spans="1:8" x14ac:dyDescent="0.25">
      <c r="A167" s="86" t="s">
        <v>57</v>
      </c>
      <c r="B167" s="4" t="s">
        <v>33</v>
      </c>
      <c r="C167" s="4">
        <v>4900091664</v>
      </c>
      <c r="D167" s="1" t="s">
        <v>816</v>
      </c>
      <c r="E167" s="4">
        <v>10</v>
      </c>
      <c r="F167" s="2" t="s">
        <v>26</v>
      </c>
      <c r="G167" s="4"/>
      <c r="H167" s="4"/>
    </row>
    <row r="168" spans="1:8" x14ac:dyDescent="0.25">
      <c r="A168" s="86" t="s">
        <v>50</v>
      </c>
      <c r="B168" s="4" t="s">
        <v>11</v>
      </c>
      <c r="C168" s="4">
        <v>4800048061</v>
      </c>
      <c r="D168" s="1" t="s">
        <v>145</v>
      </c>
      <c r="E168" s="4">
        <v>0</v>
      </c>
      <c r="F168" s="4" t="s">
        <v>26</v>
      </c>
      <c r="G168" s="4"/>
      <c r="H168" s="4"/>
    </row>
    <row r="169" spans="1:8" x14ac:dyDescent="0.25">
      <c r="A169" s="86" t="s">
        <v>50</v>
      </c>
      <c r="B169" s="4" t="s">
        <v>12</v>
      </c>
      <c r="C169" s="4">
        <v>4800048060</v>
      </c>
      <c r="D169" s="1" t="s">
        <v>147</v>
      </c>
      <c r="E169" s="4">
        <v>0</v>
      </c>
      <c r="F169" s="2" t="s">
        <v>26</v>
      </c>
      <c r="G169" s="4"/>
      <c r="H169" s="4"/>
    </row>
    <row r="170" spans="1:8" x14ac:dyDescent="0.25">
      <c r="A170" s="86" t="s">
        <v>50</v>
      </c>
      <c r="B170" s="4" t="s">
        <v>12</v>
      </c>
      <c r="C170" s="4">
        <v>4800048069</v>
      </c>
      <c r="D170" s="1" t="s">
        <v>146</v>
      </c>
      <c r="E170" s="4">
        <v>0</v>
      </c>
      <c r="F170" s="2" t="s">
        <v>26</v>
      </c>
      <c r="G170" s="4"/>
      <c r="H170" s="4"/>
    </row>
    <row r="171" spans="1:8" x14ac:dyDescent="0.25">
      <c r="A171" s="86" t="s">
        <v>50</v>
      </c>
      <c r="B171" s="4" t="s">
        <v>12</v>
      </c>
      <c r="C171" s="4">
        <v>4800049134</v>
      </c>
      <c r="D171" s="1" t="s">
        <v>388</v>
      </c>
      <c r="E171" s="4">
        <v>0</v>
      </c>
      <c r="F171" s="2" t="s">
        <v>26</v>
      </c>
      <c r="G171" s="4"/>
      <c r="H171" s="4"/>
    </row>
    <row r="172" spans="1:8" x14ac:dyDescent="0.25">
      <c r="A172" s="86" t="s">
        <v>50</v>
      </c>
      <c r="B172" s="4" t="s">
        <v>12</v>
      </c>
      <c r="C172" s="4">
        <v>4800049140</v>
      </c>
      <c r="D172" s="1" t="s">
        <v>389</v>
      </c>
      <c r="E172" s="4">
        <v>0</v>
      </c>
      <c r="F172" s="2" t="s">
        <v>26</v>
      </c>
      <c r="G172" s="4"/>
      <c r="H172" s="4"/>
    </row>
    <row r="173" spans="1:8" x14ac:dyDescent="0.25">
      <c r="A173" s="86" t="s">
        <v>50</v>
      </c>
      <c r="B173" s="4" t="s">
        <v>10</v>
      </c>
      <c r="C173" s="4">
        <v>4800048126</v>
      </c>
      <c r="D173" s="1" t="s">
        <v>387</v>
      </c>
      <c r="E173" s="4">
        <v>0</v>
      </c>
      <c r="F173" s="5" t="s">
        <v>26</v>
      </c>
      <c r="G173" s="4"/>
      <c r="H173" s="4"/>
    </row>
    <row r="174" spans="1:8" x14ac:dyDescent="0.25">
      <c r="A174" s="86" t="s">
        <v>50</v>
      </c>
      <c r="B174" s="4" t="s">
        <v>10</v>
      </c>
      <c r="C174" s="4">
        <v>4800049282</v>
      </c>
      <c r="D174" s="1" t="s">
        <v>385</v>
      </c>
      <c r="E174" s="4">
        <v>0</v>
      </c>
      <c r="F174" s="5" t="s">
        <v>26</v>
      </c>
      <c r="G174" s="4"/>
      <c r="H174" s="4"/>
    </row>
    <row r="175" spans="1:8" x14ac:dyDescent="0.25">
      <c r="A175" s="86" t="s">
        <v>50</v>
      </c>
      <c r="B175" s="4" t="s">
        <v>10</v>
      </c>
      <c r="C175" s="4">
        <v>4800049284</v>
      </c>
      <c r="D175" s="1" t="s">
        <v>386</v>
      </c>
      <c r="E175" s="4">
        <v>0</v>
      </c>
      <c r="F175" s="5" t="s">
        <v>26</v>
      </c>
      <c r="G175" s="4"/>
      <c r="H175" s="4"/>
    </row>
    <row r="176" spans="1:8" x14ac:dyDescent="0.25">
      <c r="A176" s="86" t="s">
        <v>46</v>
      </c>
      <c r="B176" s="4" t="s">
        <v>10</v>
      </c>
      <c r="C176" s="4">
        <v>4100041005</v>
      </c>
      <c r="D176" s="1" t="s">
        <v>391</v>
      </c>
      <c r="E176" s="4">
        <v>14</v>
      </c>
      <c r="F176" s="5" t="s">
        <v>26</v>
      </c>
      <c r="G176" s="83" t="s">
        <v>842</v>
      </c>
      <c r="H176" s="4"/>
    </row>
    <row r="177" spans="1:8" x14ac:dyDescent="0.25">
      <c r="A177" s="86" t="s">
        <v>46</v>
      </c>
      <c r="B177" s="4" t="s">
        <v>10</v>
      </c>
      <c r="C177" s="4">
        <v>4100041019</v>
      </c>
      <c r="D177" s="1" t="s">
        <v>392</v>
      </c>
      <c r="E177" s="4">
        <v>28</v>
      </c>
      <c r="F177" s="5" t="s">
        <v>26</v>
      </c>
      <c r="G177" s="213" t="s">
        <v>842</v>
      </c>
      <c r="H177" s="4"/>
    </row>
    <row r="178" spans="1:8" x14ac:dyDescent="0.25">
      <c r="A178" s="86" t="s">
        <v>46</v>
      </c>
      <c r="B178" s="4" t="s">
        <v>10</v>
      </c>
      <c r="C178" s="4">
        <v>4800048380</v>
      </c>
      <c r="D178" s="1" t="s">
        <v>390</v>
      </c>
      <c r="E178" s="4">
        <v>16</v>
      </c>
      <c r="F178" s="5" t="s">
        <v>26</v>
      </c>
      <c r="G178" s="213" t="s">
        <v>842</v>
      </c>
      <c r="H178" s="4"/>
    </row>
    <row r="179" spans="1:8" x14ac:dyDescent="0.25">
      <c r="A179" s="86" t="s">
        <v>46</v>
      </c>
      <c r="B179" s="4" t="s">
        <v>33</v>
      </c>
      <c r="C179" s="4">
        <v>4000040990</v>
      </c>
      <c r="D179" s="1" t="s">
        <v>156</v>
      </c>
      <c r="E179" s="4">
        <v>1</v>
      </c>
      <c r="F179" s="2" t="s">
        <v>26</v>
      </c>
      <c r="G179" s="213" t="s">
        <v>842</v>
      </c>
      <c r="H179" s="4"/>
    </row>
    <row r="180" spans="1:8" x14ac:dyDescent="0.25">
      <c r="A180" s="86" t="s">
        <v>46</v>
      </c>
      <c r="B180" s="4" t="s">
        <v>33</v>
      </c>
      <c r="C180" s="4">
        <v>5200052652</v>
      </c>
      <c r="D180" s="1" t="s">
        <v>393</v>
      </c>
      <c r="E180" s="4">
        <v>1</v>
      </c>
      <c r="F180" s="2" t="s">
        <v>26</v>
      </c>
      <c r="G180" s="213" t="s">
        <v>842</v>
      </c>
      <c r="H180" s="4"/>
    </row>
    <row r="181" spans="1:8" hidden="1" x14ac:dyDescent="0.25">
      <c r="A181" s="86" t="s">
        <v>46</v>
      </c>
      <c r="B181" s="4" t="s">
        <v>12</v>
      </c>
      <c r="C181" s="4">
        <v>4900091794</v>
      </c>
      <c r="D181" s="1" t="s">
        <v>825</v>
      </c>
      <c r="E181" s="4">
        <v>11</v>
      </c>
      <c r="F181" s="2" t="s">
        <v>26</v>
      </c>
      <c r="G181" s="86" t="s">
        <v>693</v>
      </c>
      <c r="H181" s="4"/>
    </row>
    <row r="182" spans="1:8" hidden="1" x14ac:dyDescent="0.25">
      <c r="A182" s="86" t="s">
        <v>46</v>
      </c>
      <c r="B182" s="4" t="s">
        <v>10</v>
      </c>
      <c r="C182" s="4">
        <v>4100041052</v>
      </c>
      <c r="D182" s="1" t="s">
        <v>823</v>
      </c>
      <c r="E182" s="4">
        <v>14</v>
      </c>
      <c r="F182" s="5" t="s">
        <v>26</v>
      </c>
      <c r="G182" s="214" t="s">
        <v>693</v>
      </c>
      <c r="H182" s="4"/>
    </row>
    <row r="183" spans="1:8" hidden="1" x14ac:dyDescent="0.25">
      <c r="A183" s="86" t="s">
        <v>46</v>
      </c>
      <c r="B183" s="4" t="s">
        <v>10</v>
      </c>
      <c r="C183" s="4">
        <v>4800048418</v>
      </c>
      <c r="D183" s="1" t="s">
        <v>822</v>
      </c>
      <c r="E183" s="4">
        <v>16</v>
      </c>
      <c r="F183" s="5" t="s">
        <v>26</v>
      </c>
      <c r="G183" s="214" t="s">
        <v>693</v>
      </c>
      <c r="H183" s="4"/>
    </row>
    <row r="184" spans="1:8" hidden="1" x14ac:dyDescent="0.25">
      <c r="A184" s="86" t="s">
        <v>46</v>
      </c>
      <c r="B184" s="4" t="s">
        <v>33</v>
      </c>
      <c r="C184" s="4">
        <v>5300053642</v>
      </c>
      <c r="D184" s="1" t="s">
        <v>824</v>
      </c>
      <c r="E184" s="4">
        <v>1</v>
      </c>
      <c r="F184" s="2" t="s">
        <v>26</v>
      </c>
      <c r="G184" s="214" t="s">
        <v>693</v>
      </c>
      <c r="H184" s="4"/>
    </row>
    <row r="185" spans="1:8" x14ac:dyDescent="0.25">
      <c r="A185" s="86" t="s">
        <v>5</v>
      </c>
      <c r="B185" s="6" t="s">
        <v>10</v>
      </c>
      <c r="C185" s="6">
        <v>4000042206</v>
      </c>
      <c r="D185" s="111" t="s">
        <v>826</v>
      </c>
      <c r="E185" s="6">
        <v>1</v>
      </c>
      <c r="F185" s="5" t="s">
        <v>26</v>
      </c>
      <c r="G185" s="216"/>
      <c r="H185" s="6"/>
    </row>
    <row r="186" spans="1:8" x14ac:dyDescent="0.25">
      <c r="A186" s="86" t="s">
        <v>5</v>
      </c>
      <c r="B186" s="6" t="s">
        <v>10</v>
      </c>
      <c r="C186" s="6">
        <v>4000042215</v>
      </c>
      <c r="D186" s="111" t="s">
        <v>307</v>
      </c>
      <c r="E186" s="6">
        <v>26</v>
      </c>
      <c r="F186" s="5" t="s">
        <v>26</v>
      </c>
      <c r="G186" s="216"/>
      <c r="H186" s="6"/>
    </row>
    <row r="187" spans="1:8" x14ac:dyDescent="0.25">
      <c r="A187" s="86" t="s">
        <v>5</v>
      </c>
      <c r="B187" s="6" t="s">
        <v>10</v>
      </c>
      <c r="C187" s="6">
        <v>4000042251</v>
      </c>
      <c r="D187" s="111" t="s">
        <v>827</v>
      </c>
      <c r="E187" s="6">
        <v>1</v>
      </c>
      <c r="F187" s="5" t="s">
        <v>26</v>
      </c>
      <c r="G187" s="144"/>
      <c r="H187" s="6"/>
    </row>
    <row r="188" spans="1:8" x14ac:dyDescent="0.25">
      <c r="A188" s="86" t="s">
        <v>5</v>
      </c>
      <c r="B188" s="6" t="s">
        <v>10</v>
      </c>
      <c r="C188" s="6">
        <v>4000042267</v>
      </c>
      <c r="D188" s="111" t="s">
        <v>828</v>
      </c>
      <c r="E188" s="6">
        <v>1</v>
      </c>
      <c r="F188" s="5" t="s">
        <v>26</v>
      </c>
      <c r="G188" s="144"/>
      <c r="H188" s="6"/>
    </row>
    <row r="189" spans="1:8" x14ac:dyDescent="0.25">
      <c r="A189" s="86" t="s">
        <v>5</v>
      </c>
      <c r="B189" s="6" t="s">
        <v>33</v>
      </c>
      <c r="C189" s="6">
        <v>4000042238</v>
      </c>
      <c r="D189" s="111" t="s">
        <v>456</v>
      </c>
      <c r="E189" s="6">
        <v>21</v>
      </c>
      <c r="F189" s="2" t="s">
        <v>26</v>
      </c>
      <c r="G189" s="144"/>
      <c r="H189" s="6"/>
    </row>
    <row r="190" spans="1:8" x14ac:dyDescent="0.25">
      <c r="A190" s="86" t="s">
        <v>5</v>
      </c>
      <c r="B190" s="6" t="s">
        <v>33</v>
      </c>
      <c r="C190" s="6">
        <v>4000042257</v>
      </c>
      <c r="D190" s="111" t="s">
        <v>829</v>
      </c>
      <c r="E190" s="6">
        <v>10</v>
      </c>
      <c r="F190" s="2" t="s">
        <v>26</v>
      </c>
      <c r="G190" s="6"/>
      <c r="H190" s="6"/>
    </row>
    <row r="191" spans="1:8" x14ac:dyDescent="0.25">
      <c r="A191" s="86" t="s">
        <v>47</v>
      </c>
      <c r="B191" s="6" t="s">
        <v>80</v>
      </c>
      <c r="C191" s="6">
        <v>7200072743</v>
      </c>
      <c r="D191" s="111" t="s">
        <v>563</v>
      </c>
      <c r="E191" s="6">
        <v>8</v>
      </c>
      <c r="F191" s="2" t="s">
        <v>26</v>
      </c>
      <c r="G191" s="6"/>
      <c r="H191" s="6"/>
    </row>
    <row r="192" spans="1:8" x14ac:dyDescent="0.25">
      <c r="A192" s="86" t="s">
        <v>47</v>
      </c>
      <c r="B192" s="6" t="s">
        <v>80</v>
      </c>
      <c r="C192" s="6">
        <v>7200072746</v>
      </c>
      <c r="D192" s="111" t="s">
        <v>308</v>
      </c>
      <c r="E192" s="6">
        <v>8</v>
      </c>
      <c r="F192" s="4" t="s">
        <v>26</v>
      </c>
      <c r="G192" s="6"/>
      <c r="H192" s="6"/>
    </row>
    <row r="193" spans="1:8" x14ac:dyDescent="0.25">
      <c r="A193" s="86" t="s">
        <v>47</v>
      </c>
      <c r="B193" s="6" t="s">
        <v>12</v>
      </c>
      <c r="C193" s="6">
        <v>7200072749</v>
      </c>
      <c r="D193" s="111" t="s">
        <v>148</v>
      </c>
      <c r="E193" s="6">
        <v>38</v>
      </c>
      <c r="F193" s="4" t="s">
        <v>26</v>
      </c>
      <c r="G193" s="6"/>
      <c r="H193" s="6"/>
    </row>
    <row r="194" spans="1:8" x14ac:dyDescent="0.25">
      <c r="A194" s="86" t="s">
        <v>47</v>
      </c>
      <c r="B194" s="6" t="s">
        <v>12</v>
      </c>
      <c r="C194" s="6">
        <v>7200072763</v>
      </c>
      <c r="D194" s="111" t="s">
        <v>836</v>
      </c>
      <c r="E194" s="6">
        <v>39</v>
      </c>
      <c r="F194" s="5" t="s">
        <v>26</v>
      </c>
      <c r="G194" s="6"/>
      <c r="H194" s="6"/>
    </row>
    <row r="195" spans="1:8" x14ac:dyDescent="0.25">
      <c r="A195" s="86" t="s">
        <v>47</v>
      </c>
      <c r="B195" s="6" t="s">
        <v>12</v>
      </c>
      <c r="C195" s="6">
        <v>7200072764</v>
      </c>
      <c r="D195" s="111" t="s">
        <v>834</v>
      </c>
      <c r="E195" s="6">
        <v>36</v>
      </c>
      <c r="F195" s="4" t="s">
        <v>26</v>
      </c>
      <c r="G195" s="6"/>
      <c r="H195" s="6"/>
    </row>
    <row r="196" spans="1:8" x14ac:dyDescent="0.25">
      <c r="A196" s="86" t="s">
        <v>47</v>
      </c>
      <c r="B196" s="6" t="s">
        <v>12</v>
      </c>
      <c r="C196" s="6">
        <v>7200072973</v>
      </c>
      <c r="D196" s="111" t="s">
        <v>838</v>
      </c>
      <c r="E196" s="6">
        <v>4</v>
      </c>
      <c r="F196" s="4" t="s">
        <v>26</v>
      </c>
      <c r="G196" s="6"/>
      <c r="H196" s="6"/>
    </row>
    <row r="197" spans="1:8" x14ac:dyDescent="0.25">
      <c r="A197" s="86" t="s">
        <v>47</v>
      </c>
      <c r="B197" s="6" t="s">
        <v>12</v>
      </c>
      <c r="C197" s="6">
        <v>7300073709</v>
      </c>
      <c r="D197" s="111" t="s">
        <v>835</v>
      </c>
      <c r="E197" s="6">
        <v>2</v>
      </c>
      <c r="F197" s="4" t="s">
        <v>26</v>
      </c>
      <c r="G197" s="6"/>
      <c r="H197" s="6"/>
    </row>
    <row r="198" spans="1:8" x14ac:dyDescent="0.25">
      <c r="A198" s="86" t="s">
        <v>47</v>
      </c>
      <c r="B198" s="6" t="s">
        <v>12</v>
      </c>
      <c r="C198" s="6">
        <v>7300073845</v>
      </c>
      <c r="D198" s="111" t="s">
        <v>839</v>
      </c>
      <c r="E198" s="6">
        <v>6</v>
      </c>
      <c r="F198" s="4" t="s">
        <v>26</v>
      </c>
      <c r="G198" s="6"/>
      <c r="H198" s="6"/>
    </row>
    <row r="199" spans="1:8" x14ac:dyDescent="0.25">
      <c r="A199" s="86" t="s">
        <v>47</v>
      </c>
      <c r="B199" s="6" t="s">
        <v>457</v>
      </c>
      <c r="C199" s="6">
        <v>7300073355</v>
      </c>
      <c r="D199" s="111" t="s">
        <v>837</v>
      </c>
      <c r="E199" s="6">
        <v>26</v>
      </c>
      <c r="F199" s="5" t="s">
        <v>26</v>
      </c>
      <c r="G199" s="6"/>
      <c r="H199" s="6"/>
    </row>
    <row r="200" spans="1:8" x14ac:dyDescent="0.25">
      <c r="A200" s="86" t="s">
        <v>47</v>
      </c>
      <c r="B200" s="6" t="s">
        <v>10</v>
      </c>
      <c r="C200" s="6">
        <v>7200072351</v>
      </c>
      <c r="D200" s="111" t="s">
        <v>83</v>
      </c>
      <c r="E200" s="6">
        <v>29</v>
      </c>
      <c r="F200" s="5" t="s">
        <v>26</v>
      </c>
      <c r="G200" s="6"/>
      <c r="H200" s="6"/>
    </row>
    <row r="201" spans="1:8" x14ac:dyDescent="0.25">
      <c r="A201" s="86" t="s">
        <v>47</v>
      </c>
      <c r="B201" s="6" t="s">
        <v>10</v>
      </c>
      <c r="C201" s="6">
        <v>7200072713</v>
      </c>
      <c r="D201" s="111" t="s">
        <v>840</v>
      </c>
      <c r="E201" s="6">
        <v>25</v>
      </c>
      <c r="F201" s="5" t="s">
        <v>26</v>
      </c>
      <c r="G201" s="6"/>
      <c r="H201" s="6"/>
    </row>
    <row r="202" spans="1:8" x14ac:dyDescent="0.25">
      <c r="A202" s="86" t="s">
        <v>47</v>
      </c>
      <c r="B202" s="6" t="s">
        <v>10</v>
      </c>
      <c r="C202" s="6">
        <v>7200072733</v>
      </c>
      <c r="D202" s="111" t="s">
        <v>81</v>
      </c>
      <c r="E202" s="6">
        <v>96</v>
      </c>
      <c r="F202" s="5" t="s">
        <v>26</v>
      </c>
      <c r="G202" s="6"/>
      <c r="H202" s="6"/>
    </row>
    <row r="203" spans="1:8" x14ac:dyDescent="0.25">
      <c r="A203" s="86" t="s">
        <v>47</v>
      </c>
      <c r="B203" s="6" t="s">
        <v>10</v>
      </c>
      <c r="C203" s="6">
        <v>7200072760</v>
      </c>
      <c r="D203" s="111" t="s">
        <v>830</v>
      </c>
      <c r="E203" s="6">
        <v>58</v>
      </c>
      <c r="F203" s="5" t="s">
        <v>26</v>
      </c>
      <c r="G203" s="6"/>
      <c r="H203" s="6"/>
    </row>
    <row r="204" spans="1:8" x14ac:dyDescent="0.25">
      <c r="A204" s="86" t="s">
        <v>47</v>
      </c>
      <c r="B204" s="6" t="s">
        <v>10</v>
      </c>
      <c r="C204" s="6">
        <v>7200072761</v>
      </c>
      <c r="D204" s="111" t="s">
        <v>832</v>
      </c>
      <c r="E204" s="6">
        <v>38</v>
      </c>
      <c r="F204" s="5" t="s">
        <v>26</v>
      </c>
      <c r="G204" s="6"/>
      <c r="H204" s="6"/>
    </row>
    <row r="205" spans="1:8" x14ac:dyDescent="0.25">
      <c r="A205" s="86" t="s">
        <v>47</v>
      </c>
      <c r="B205" s="6" t="s">
        <v>10</v>
      </c>
      <c r="C205" s="6">
        <v>7200072970</v>
      </c>
      <c r="D205" s="111" t="s">
        <v>831</v>
      </c>
      <c r="E205" s="6">
        <v>23</v>
      </c>
      <c r="F205" s="5" t="s">
        <v>26</v>
      </c>
      <c r="G205" s="6"/>
      <c r="H205" s="6"/>
    </row>
    <row r="206" spans="1:8" x14ac:dyDescent="0.25">
      <c r="A206" s="86" t="s">
        <v>47</v>
      </c>
      <c r="B206" s="6" t="s">
        <v>10</v>
      </c>
      <c r="C206" s="6">
        <v>7300073333</v>
      </c>
      <c r="D206" s="111" t="s">
        <v>59</v>
      </c>
      <c r="E206" s="6">
        <v>38</v>
      </c>
      <c r="F206" s="5" t="s">
        <v>26</v>
      </c>
      <c r="G206" s="6"/>
      <c r="H206" s="6"/>
    </row>
    <row r="207" spans="1:8" x14ac:dyDescent="0.25">
      <c r="A207" s="86" t="s">
        <v>47</v>
      </c>
      <c r="B207" s="6" t="s">
        <v>10</v>
      </c>
      <c r="C207" s="6">
        <v>7300073705</v>
      </c>
      <c r="D207" s="111" t="s">
        <v>833</v>
      </c>
      <c r="E207" s="6">
        <v>6</v>
      </c>
      <c r="F207" s="5" t="s">
        <v>26</v>
      </c>
      <c r="G207" s="6"/>
      <c r="H207" s="6"/>
    </row>
    <row r="208" spans="1:8" x14ac:dyDescent="0.25">
      <c r="A208" s="86" t="s">
        <v>47</v>
      </c>
      <c r="B208" s="6" t="s">
        <v>10</v>
      </c>
      <c r="C208" s="6">
        <v>7300073759</v>
      </c>
      <c r="D208" s="111" t="s">
        <v>841</v>
      </c>
      <c r="E208" s="6">
        <v>2</v>
      </c>
      <c r="F208" s="5" t="s">
        <v>26</v>
      </c>
      <c r="G208" s="6"/>
      <c r="H208" s="6"/>
    </row>
    <row r="209" spans="1:8" x14ac:dyDescent="0.25">
      <c r="A209" s="86" t="s">
        <v>47</v>
      </c>
      <c r="B209" s="6" t="s">
        <v>33</v>
      </c>
      <c r="C209" s="6">
        <v>7300073343</v>
      </c>
      <c r="D209" s="111" t="s">
        <v>82</v>
      </c>
      <c r="E209" s="6">
        <v>42</v>
      </c>
      <c r="F209" s="2" t="s">
        <v>26</v>
      </c>
      <c r="G209" s="6"/>
      <c r="H209" s="6"/>
    </row>
    <row r="210" spans="1:8" x14ac:dyDescent="0.25">
      <c r="A210" s="86" t="s">
        <v>48</v>
      </c>
      <c r="B210" s="4" t="s">
        <v>6</v>
      </c>
      <c r="C210" s="4">
        <v>4600042145</v>
      </c>
      <c r="D210" s="1" t="s">
        <v>564</v>
      </c>
      <c r="E210" s="4">
        <v>15</v>
      </c>
      <c r="F210" s="2" t="s">
        <v>26</v>
      </c>
      <c r="G210" s="4"/>
      <c r="H210" s="4"/>
    </row>
    <row r="211" spans="1:8" x14ac:dyDescent="0.25">
      <c r="A211" s="86" t="s">
        <v>48</v>
      </c>
      <c r="B211" s="4" t="s">
        <v>6</v>
      </c>
      <c r="C211" s="4">
        <v>4600042146</v>
      </c>
      <c r="D211" s="1" t="s">
        <v>565</v>
      </c>
      <c r="E211" s="4">
        <v>14</v>
      </c>
      <c r="F211" s="2" t="s">
        <v>26</v>
      </c>
      <c r="G211" s="4"/>
      <c r="H211" s="4"/>
    </row>
    <row r="212" spans="1:8" x14ac:dyDescent="0.25">
      <c r="A212" s="86" t="s">
        <v>48</v>
      </c>
      <c r="B212" s="4" t="s">
        <v>6</v>
      </c>
      <c r="C212" s="4">
        <v>4600042147</v>
      </c>
      <c r="D212" s="1" t="s">
        <v>566</v>
      </c>
      <c r="E212" s="4">
        <v>29</v>
      </c>
      <c r="F212" s="2" t="s">
        <v>26</v>
      </c>
      <c r="G212" s="4"/>
      <c r="H212" s="4"/>
    </row>
    <row r="213" spans="1:8" x14ac:dyDescent="0.25">
      <c r="A213" s="86" t="s">
        <v>48</v>
      </c>
      <c r="B213" s="4" t="s">
        <v>6</v>
      </c>
      <c r="C213" s="4">
        <v>4600042157</v>
      </c>
      <c r="D213" s="1" t="s">
        <v>572</v>
      </c>
      <c r="E213" s="4">
        <v>6</v>
      </c>
      <c r="F213" s="2" t="s">
        <v>26</v>
      </c>
      <c r="G213" s="4"/>
      <c r="H213" s="4"/>
    </row>
    <row r="214" spans="1:8" x14ac:dyDescent="0.25">
      <c r="A214" s="86" t="s">
        <v>48</v>
      </c>
      <c r="B214" s="4" t="s">
        <v>6</v>
      </c>
      <c r="C214" s="4">
        <v>4600042237</v>
      </c>
      <c r="D214" s="1" t="s">
        <v>567</v>
      </c>
      <c r="E214" s="4">
        <v>2</v>
      </c>
      <c r="F214" s="2" t="s">
        <v>26</v>
      </c>
      <c r="G214" s="4"/>
      <c r="H214" s="4"/>
    </row>
    <row r="215" spans="1:8" x14ac:dyDescent="0.25">
      <c r="A215" s="86" t="s">
        <v>48</v>
      </c>
      <c r="B215" s="4" t="s">
        <v>6</v>
      </c>
      <c r="C215" s="4">
        <v>4600042245</v>
      </c>
      <c r="D215" s="1" t="s">
        <v>573</v>
      </c>
      <c r="E215" s="147">
        <v>1</v>
      </c>
      <c r="F215" s="4" t="s">
        <v>26</v>
      </c>
      <c r="G215" s="4"/>
      <c r="H215" s="4"/>
    </row>
    <row r="216" spans="1:8" x14ac:dyDescent="0.25">
      <c r="A216" s="86" t="s">
        <v>48</v>
      </c>
      <c r="B216" s="4" t="s">
        <v>6</v>
      </c>
      <c r="C216" s="4">
        <v>4600047051</v>
      </c>
      <c r="D216" s="1" t="s">
        <v>568</v>
      </c>
      <c r="E216" s="147">
        <v>7</v>
      </c>
      <c r="F216" s="2" t="s">
        <v>26</v>
      </c>
      <c r="G216" s="4"/>
      <c r="H216" s="4"/>
    </row>
    <row r="217" spans="1:8" x14ac:dyDescent="0.25">
      <c r="A217" s="86" t="s">
        <v>48</v>
      </c>
      <c r="B217" s="4" t="s">
        <v>6</v>
      </c>
      <c r="C217" s="4">
        <v>4600047057</v>
      </c>
      <c r="D217" s="1" t="s">
        <v>574</v>
      </c>
      <c r="E217" s="147">
        <v>3</v>
      </c>
      <c r="F217" s="148" t="s">
        <v>26</v>
      </c>
      <c r="G217" s="4"/>
      <c r="H217" s="4"/>
    </row>
    <row r="218" spans="1:8" x14ac:dyDescent="0.25">
      <c r="A218" s="86" t="s">
        <v>48</v>
      </c>
      <c r="B218" s="4" t="s">
        <v>12</v>
      </c>
      <c r="C218" s="4">
        <v>4600042159</v>
      </c>
      <c r="D218" s="1" t="s">
        <v>575</v>
      </c>
      <c r="E218" s="4">
        <v>15</v>
      </c>
      <c r="F218" s="2" t="s">
        <v>26</v>
      </c>
      <c r="G218" s="4"/>
      <c r="H218" s="4"/>
    </row>
    <row r="219" spans="1:8" x14ac:dyDescent="0.25">
      <c r="A219" s="86" t="s">
        <v>48</v>
      </c>
      <c r="B219" s="4" t="s">
        <v>12</v>
      </c>
      <c r="C219" s="4">
        <v>4600042247</v>
      </c>
      <c r="D219" s="1" t="s">
        <v>577</v>
      </c>
      <c r="E219" s="4">
        <v>2</v>
      </c>
      <c r="F219" s="2" t="s">
        <v>26</v>
      </c>
      <c r="G219" s="4"/>
      <c r="H219" s="4"/>
    </row>
    <row r="220" spans="1:8" x14ac:dyDescent="0.25">
      <c r="A220" s="86" t="s">
        <v>48</v>
      </c>
      <c r="B220" s="4" t="s">
        <v>12</v>
      </c>
      <c r="C220" s="4">
        <v>4600047059</v>
      </c>
      <c r="D220" s="1" t="s">
        <v>576</v>
      </c>
      <c r="E220" s="4">
        <v>8</v>
      </c>
      <c r="F220" s="4" t="s">
        <v>26</v>
      </c>
      <c r="G220" s="4"/>
      <c r="H220" s="4"/>
    </row>
    <row r="221" spans="1:8" x14ac:dyDescent="0.25">
      <c r="A221" s="86" t="s">
        <v>48</v>
      </c>
      <c r="B221" s="4" t="s">
        <v>10</v>
      </c>
      <c r="C221" s="4">
        <v>4600042104</v>
      </c>
      <c r="D221" s="1" t="s">
        <v>569</v>
      </c>
      <c r="E221" s="4">
        <v>29</v>
      </c>
      <c r="F221" s="5" t="s">
        <v>26</v>
      </c>
      <c r="G221" s="4"/>
      <c r="H221" s="4"/>
    </row>
    <row r="222" spans="1:8" x14ac:dyDescent="0.25">
      <c r="A222" s="86" t="s">
        <v>48</v>
      </c>
      <c r="B222" s="4" t="s">
        <v>10</v>
      </c>
      <c r="C222" s="4">
        <v>4600042150</v>
      </c>
      <c r="D222" s="1" t="s">
        <v>157</v>
      </c>
      <c r="E222" s="4">
        <v>1</v>
      </c>
      <c r="F222" s="5" t="s">
        <v>26</v>
      </c>
      <c r="G222" s="4"/>
      <c r="H222" s="4"/>
    </row>
    <row r="223" spans="1:8" x14ac:dyDescent="0.25">
      <c r="A223" s="86" t="s">
        <v>48</v>
      </c>
      <c r="B223" s="4" t="s">
        <v>10</v>
      </c>
      <c r="C223" s="4">
        <v>4600042191</v>
      </c>
      <c r="D223" s="1" t="s">
        <v>309</v>
      </c>
      <c r="E223" s="4">
        <v>1</v>
      </c>
      <c r="F223" s="5" t="s">
        <v>26</v>
      </c>
      <c r="G223" s="4"/>
      <c r="H223" s="4"/>
    </row>
    <row r="224" spans="1:8" x14ac:dyDescent="0.25">
      <c r="A224" s="86" t="s">
        <v>48</v>
      </c>
      <c r="B224" s="4" t="s">
        <v>10</v>
      </c>
      <c r="C224" s="4">
        <v>4600042202</v>
      </c>
      <c r="D224" s="1" t="s">
        <v>570</v>
      </c>
      <c r="E224" s="4">
        <v>2</v>
      </c>
      <c r="F224" s="5" t="s">
        <v>26</v>
      </c>
      <c r="G224" s="4"/>
      <c r="H224" s="4"/>
    </row>
    <row r="225" spans="1:8" x14ac:dyDescent="0.25">
      <c r="A225" s="86" t="s">
        <v>48</v>
      </c>
      <c r="B225" s="4" t="s">
        <v>10</v>
      </c>
      <c r="C225" s="4">
        <v>4600047029</v>
      </c>
      <c r="D225" s="1" t="s">
        <v>571</v>
      </c>
      <c r="E225" s="4">
        <v>7</v>
      </c>
      <c r="F225" s="5" t="s">
        <v>26</v>
      </c>
      <c r="G225" s="4"/>
      <c r="H225" s="4"/>
    </row>
  </sheetData>
  <autoFilter ref="A3:H3" xr:uid="{6C09CB01-2EB3-4D48-8E33-97C27004C9CA}"/>
  <mergeCells count="5">
    <mergeCell ref="A1:C2"/>
    <mergeCell ref="D1:D2"/>
    <mergeCell ref="E1:F2"/>
    <mergeCell ref="G4:G30"/>
    <mergeCell ref="G31:G55"/>
  </mergeCells>
  <phoneticPr fontId="48" type="noConversion"/>
  <pageMargins left="0.23622047244094491" right="0.23622047244094491" top="0.74803149606299213" bottom="0.74803149606299213" header="0.31496062992125984" footer="0.31496062992125984"/>
  <pageSetup paperSize="8" scale="67" fitToHeight="0" orientation="portrait" r:id="rId1"/>
  <rowBreaks count="2" manualBreakCount="2">
    <brk id="86" max="7" man="1"/>
    <brk id="159" max="7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6218A-BD76-4C70-9D2D-CF56892027A7}">
  <sheetPr codeName="Sheet2">
    <pageSetUpPr fitToPage="1"/>
  </sheetPr>
  <dimension ref="A1:L47"/>
  <sheetViews>
    <sheetView view="pageBreakPreview" topLeftCell="B1" zoomScale="40" zoomScaleNormal="100" zoomScaleSheetLayoutView="40" workbookViewId="0">
      <pane ySplit="2" topLeftCell="A27" activePane="bottomLeft" state="frozen"/>
      <selection activeCell="D160" sqref="D160"/>
      <selection pane="bottomLeft" activeCell="F17" sqref="F17"/>
    </sheetView>
  </sheetViews>
  <sheetFormatPr defaultColWidth="9.109375" defaultRowHeight="57" customHeight="1" x14ac:dyDescent="0.9"/>
  <cols>
    <col min="1" max="1" width="13" style="125" bestFit="1" customWidth="1"/>
    <col min="2" max="2" width="15.44140625" style="23" customWidth="1"/>
    <col min="3" max="3" width="27.6640625" style="19" bestFit="1" customWidth="1"/>
    <col min="4" max="4" width="12" style="19" customWidth="1"/>
    <col min="5" max="5" width="42.6640625" style="19" customWidth="1"/>
    <col min="6" max="6" width="149.6640625" style="24" customWidth="1"/>
    <col min="7" max="7" width="24.6640625" style="19" customWidth="1"/>
    <col min="8" max="8" width="24.44140625" style="19" customWidth="1"/>
    <col min="9" max="9" width="15.88671875" style="19" customWidth="1"/>
    <col min="10" max="10" width="40.88671875" style="19" customWidth="1"/>
    <col min="11" max="11" width="47.33203125" style="19" customWidth="1"/>
    <col min="12" max="23" width="9.109375" style="22"/>
    <col min="24" max="24" width="9.109375" style="22" customWidth="1"/>
    <col min="25" max="16384" width="9.109375" style="22"/>
  </cols>
  <sheetData>
    <row r="1" spans="1:11" s="19" customFormat="1" ht="57" customHeight="1" x14ac:dyDescent="0.25">
      <c r="A1" s="131"/>
      <c r="B1" s="60"/>
      <c r="C1" s="275" t="s">
        <v>618</v>
      </c>
      <c r="D1" s="276"/>
      <c r="E1" s="277"/>
      <c r="F1" s="9" t="s">
        <v>268</v>
      </c>
      <c r="G1" s="274">
        <f ca="1">TODAY()+1</f>
        <v>46175</v>
      </c>
      <c r="H1" s="274"/>
      <c r="I1" s="274"/>
      <c r="J1" s="73" t="s">
        <v>16</v>
      </c>
      <c r="K1" s="48">
        <f ca="1">G1+1</f>
        <v>46176</v>
      </c>
    </row>
    <row r="2" spans="1:11" s="19" customFormat="1" ht="57" customHeight="1" x14ac:dyDescent="0.25">
      <c r="A2" s="54"/>
      <c r="B2" s="20" t="s">
        <v>72</v>
      </c>
      <c r="C2" s="75" t="s">
        <v>0</v>
      </c>
      <c r="D2" s="75" t="s">
        <v>28</v>
      </c>
      <c r="E2" s="75" t="s">
        <v>1</v>
      </c>
      <c r="F2" s="75" t="s">
        <v>2</v>
      </c>
      <c r="G2" s="75" t="s">
        <v>18</v>
      </c>
      <c r="H2" s="75" t="s">
        <v>24</v>
      </c>
      <c r="I2" s="75" t="s">
        <v>29</v>
      </c>
      <c r="J2" s="75" t="s">
        <v>68</v>
      </c>
      <c r="K2" s="75" t="s">
        <v>15</v>
      </c>
    </row>
    <row r="3" spans="1:11" ht="57" customHeight="1" x14ac:dyDescent="0.65">
      <c r="A3" s="107"/>
      <c r="B3" s="114"/>
      <c r="C3" s="278" t="s">
        <v>62</v>
      </c>
      <c r="D3" s="279"/>
      <c r="E3" s="279"/>
      <c r="F3" s="279"/>
      <c r="G3" s="279"/>
      <c r="H3" s="279"/>
      <c r="I3" s="279"/>
      <c r="J3" s="279"/>
      <c r="K3" s="280"/>
    </row>
    <row r="4" spans="1:11" ht="57" customHeight="1" x14ac:dyDescent="0.65">
      <c r="A4" s="107"/>
      <c r="B4" s="114"/>
      <c r="C4" s="75" t="s">
        <v>62</v>
      </c>
      <c r="D4" s="8"/>
      <c r="E4" s="8">
        <v>3900042827</v>
      </c>
      <c r="F4" s="15" t="s">
        <v>299</v>
      </c>
      <c r="G4" s="8">
        <v>5</v>
      </c>
      <c r="H4" s="8">
        <v>5</v>
      </c>
      <c r="I4" s="8" t="s">
        <v>13</v>
      </c>
      <c r="J4" s="8"/>
      <c r="K4" s="8"/>
    </row>
    <row r="5" spans="1:11" ht="57" customHeight="1" x14ac:dyDescent="0.65">
      <c r="A5" s="55"/>
      <c r="B5" s="114"/>
      <c r="C5" s="75" t="s">
        <v>62</v>
      </c>
      <c r="D5" s="8"/>
      <c r="E5" s="8">
        <v>3900040244</v>
      </c>
      <c r="F5" s="15" t="s">
        <v>300</v>
      </c>
      <c r="G5" s="8">
        <v>1</v>
      </c>
      <c r="H5" s="8">
        <v>1</v>
      </c>
      <c r="I5" s="8" t="s">
        <v>13</v>
      </c>
      <c r="J5" s="8"/>
      <c r="K5" s="8"/>
    </row>
    <row r="6" spans="1:11" ht="57" customHeight="1" x14ac:dyDescent="0.65">
      <c r="A6" s="55"/>
      <c r="B6" s="114"/>
      <c r="C6" s="75" t="s">
        <v>62</v>
      </c>
      <c r="D6" s="8"/>
      <c r="E6" s="8">
        <v>2000121730</v>
      </c>
      <c r="F6" s="15" t="s">
        <v>397</v>
      </c>
      <c r="G6" s="8">
        <v>5</v>
      </c>
      <c r="H6" s="8">
        <v>5</v>
      </c>
      <c r="I6" s="8" t="s">
        <v>13</v>
      </c>
      <c r="J6" s="8"/>
      <c r="K6" s="8"/>
    </row>
    <row r="7" spans="1:11" ht="57" customHeight="1" x14ac:dyDescent="0.65">
      <c r="A7" s="55"/>
      <c r="B7" s="114"/>
      <c r="C7" s="75" t="s">
        <v>62</v>
      </c>
      <c r="D7" s="8"/>
      <c r="E7" s="8">
        <v>3600036060</v>
      </c>
      <c r="F7" s="15" t="s">
        <v>322</v>
      </c>
      <c r="G7" s="8">
        <v>1</v>
      </c>
      <c r="H7" s="8">
        <v>1</v>
      </c>
      <c r="I7" s="8" t="s">
        <v>13</v>
      </c>
      <c r="J7" s="8"/>
      <c r="K7" s="8"/>
    </row>
    <row r="8" spans="1:11" ht="57" customHeight="1" x14ac:dyDescent="0.65">
      <c r="A8" s="55"/>
      <c r="B8" s="114"/>
      <c r="C8" s="75" t="s">
        <v>62</v>
      </c>
      <c r="D8" s="8"/>
      <c r="E8" s="8">
        <v>3900042847</v>
      </c>
      <c r="F8" s="15" t="s">
        <v>323</v>
      </c>
      <c r="G8" s="8">
        <v>7.5</v>
      </c>
      <c r="H8" s="8">
        <v>7.5</v>
      </c>
      <c r="I8" s="8" t="s">
        <v>13</v>
      </c>
      <c r="J8" s="8"/>
      <c r="K8" s="8"/>
    </row>
    <row r="9" spans="1:11" ht="57" customHeight="1" x14ac:dyDescent="0.65">
      <c r="A9" s="55"/>
      <c r="B9" s="114"/>
      <c r="C9" s="75" t="s">
        <v>62</v>
      </c>
      <c r="D9" s="8"/>
      <c r="E9" s="8">
        <v>3300033585</v>
      </c>
      <c r="F9" s="15" t="s">
        <v>324</v>
      </c>
      <c r="G9" s="8">
        <v>1</v>
      </c>
      <c r="H9" s="8">
        <v>1</v>
      </c>
      <c r="I9" s="8" t="s">
        <v>13</v>
      </c>
      <c r="J9" s="8"/>
      <c r="K9" s="8"/>
    </row>
    <row r="10" spans="1:11" ht="57" customHeight="1" x14ac:dyDescent="0.65">
      <c r="A10" s="55"/>
      <c r="B10" s="114"/>
      <c r="C10" s="75" t="s">
        <v>62</v>
      </c>
      <c r="D10" s="8"/>
      <c r="E10" s="8">
        <v>3000133254</v>
      </c>
      <c r="F10" s="15" t="s">
        <v>609</v>
      </c>
      <c r="G10" s="8">
        <v>20</v>
      </c>
      <c r="H10" s="8">
        <v>20</v>
      </c>
      <c r="I10" s="8" t="s">
        <v>84</v>
      </c>
      <c r="J10" s="8"/>
      <c r="K10" s="8"/>
    </row>
    <row r="11" spans="1:11" ht="57" customHeight="1" x14ac:dyDescent="0.65">
      <c r="A11" s="55"/>
      <c r="B11" s="114"/>
      <c r="C11" s="75" t="s">
        <v>62</v>
      </c>
      <c r="D11" s="8"/>
      <c r="E11" s="8">
        <v>3000132300</v>
      </c>
      <c r="F11" s="15" t="s">
        <v>610</v>
      </c>
      <c r="G11" s="8">
        <v>0.2</v>
      </c>
      <c r="H11" s="8">
        <v>0.2</v>
      </c>
      <c r="I11" s="8" t="s">
        <v>13</v>
      </c>
      <c r="J11" s="8"/>
      <c r="K11" s="8"/>
    </row>
    <row r="12" spans="1:11" ht="57" customHeight="1" x14ac:dyDescent="0.65">
      <c r="A12" s="55"/>
      <c r="B12" s="114"/>
      <c r="C12" s="75" t="s">
        <v>62</v>
      </c>
      <c r="D12" s="8"/>
      <c r="E12" s="8">
        <v>3900040241</v>
      </c>
      <c r="F12" s="15" t="s">
        <v>460</v>
      </c>
      <c r="G12" s="8">
        <v>0.2</v>
      </c>
      <c r="H12" s="8">
        <v>0.2</v>
      </c>
      <c r="I12" s="8" t="s">
        <v>13</v>
      </c>
      <c r="J12" s="8"/>
      <c r="K12" s="8"/>
    </row>
    <row r="13" spans="1:11" ht="57" customHeight="1" x14ac:dyDescent="0.65">
      <c r="A13" s="55"/>
      <c r="B13" s="114"/>
      <c r="C13" s="75" t="s">
        <v>62</v>
      </c>
      <c r="D13" s="8"/>
      <c r="E13" s="8">
        <v>3900043059</v>
      </c>
      <c r="F13" s="15" t="s">
        <v>678</v>
      </c>
      <c r="G13" s="8">
        <v>0.6</v>
      </c>
      <c r="H13" s="8">
        <v>0.6</v>
      </c>
      <c r="I13" s="8" t="s">
        <v>13</v>
      </c>
      <c r="J13" s="8"/>
      <c r="K13" s="8"/>
    </row>
    <row r="14" spans="1:11" ht="57" customHeight="1" x14ac:dyDescent="0.65">
      <c r="A14" s="55"/>
      <c r="B14" s="114"/>
      <c r="C14" s="75" t="s">
        <v>62</v>
      </c>
      <c r="D14" s="8"/>
      <c r="E14" s="8" t="s">
        <v>461</v>
      </c>
      <c r="F14" s="15" t="s">
        <v>462</v>
      </c>
      <c r="G14" s="8">
        <v>10</v>
      </c>
      <c r="H14" s="8">
        <v>10</v>
      </c>
      <c r="I14" s="8" t="s">
        <v>84</v>
      </c>
      <c r="J14" s="8"/>
      <c r="K14" s="8"/>
    </row>
    <row r="15" spans="1:11" ht="57" customHeight="1" x14ac:dyDescent="0.65">
      <c r="A15" s="55"/>
      <c r="B15" s="119"/>
      <c r="C15" s="75" t="s">
        <v>62</v>
      </c>
      <c r="D15" s="115"/>
      <c r="E15" s="10">
        <v>3900042987</v>
      </c>
      <c r="F15" s="15" t="s">
        <v>611</v>
      </c>
      <c r="G15" s="8">
        <v>12</v>
      </c>
      <c r="H15" s="8">
        <v>12</v>
      </c>
      <c r="I15" s="8" t="s">
        <v>13</v>
      </c>
      <c r="J15" s="8"/>
      <c r="K15" s="8"/>
    </row>
    <row r="16" spans="1:11" ht="57" customHeight="1" x14ac:dyDescent="0.65">
      <c r="A16" s="55"/>
      <c r="B16" s="119"/>
      <c r="C16" s="281" t="s">
        <v>396</v>
      </c>
      <c r="D16" s="279"/>
      <c r="E16" s="279"/>
      <c r="F16" s="279"/>
      <c r="G16" s="279"/>
      <c r="H16" s="279"/>
      <c r="I16" s="279"/>
      <c r="J16" s="279"/>
      <c r="K16" s="280"/>
    </row>
    <row r="17" spans="1:12" s="19" customFormat="1" ht="57" customHeight="1" x14ac:dyDescent="0.25">
      <c r="A17" s="55"/>
      <c r="B17" s="20">
        <v>1</v>
      </c>
      <c r="C17" s="74" t="s">
        <v>49</v>
      </c>
      <c r="D17" s="14" t="s">
        <v>33</v>
      </c>
      <c r="E17" s="8">
        <v>4700047909</v>
      </c>
      <c r="F17" s="15" t="s">
        <v>349</v>
      </c>
      <c r="G17" s="8">
        <v>27</v>
      </c>
      <c r="H17" s="8">
        <v>28</v>
      </c>
      <c r="I17" s="13" t="s">
        <v>26</v>
      </c>
      <c r="J17" s="8"/>
      <c r="K17" s="8"/>
    </row>
    <row r="18" spans="1:12" s="19" customFormat="1" ht="57" customHeight="1" x14ac:dyDescent="0.25">
      <c r="A18" s="173" t="s">
        <v>231</v>
      </c>
      <c r="B18" s="8">
        <v>6</v>
      </c>
      <c r="C18" s="74" t="s">
        <v>37</v>
      </c>
      <c r="D18" s="14" t="s">
        <v>33</v>
      </c>
      <c r="E18" s="8">
        <v>4900055032</v>
      </c>
      <c r="F18" s="15" t="s">
        <v>38</v>
      </c>
      <c r="G18" s="8">
        <v>0</v>
      </c>
      <c r="H18" s="8">
        <v>0</v>
      </c>
      <c r="I18" s="13" t="s">
        <v>26</v>
      </c>
      <c r="J18" s="8"/>
      <c r="K18" s="8"/>
      <c r="L18" s="21"/>
    </row>
    <row r="19" spans="1:12" s="19" customFormat="1" ht="57" customHeight="1" x14ac:dyDescent="0.25">
      <c r="B19" s="8">
        <v>6</v>
      </c>
      <c r="C19" s="74" t="s">
        <v>37</v>
      </c>
      <c r="D19" s="115" t="s">
        <v>6</v>
      </c>
      <c r="E19" s="10">
        <v>3900042987</v>
      </c>
      <c r="F19" s="15" t="s">
        <v>611</v>
      </c>
      <c r="G19" s="8">
        <v>13.1</v>
      </c>
      <c r="H19" s="8">
        <v>19.38</v>
      </c>
      <c r="I19" s="13" t="s">
        <v>13</v>
      </c>
      <c r="J19" s="8"/>
      <c r="K19" s="8"/>
      <c r="L19" s="21"/>
    </row>
    <row r="20" spans="1:12" s="19" customFormat="1" ht="57" customHeight="1" x14ac:dyDescent="0.25">
      <c r="A20" s="55"/>
      <c r="B20" s="8">
        <v>2</v>
      </c>
      <c r="C20" s="75" t="s">
        <v>3</v>
      </c>
      <c r="D20" s="8" t="s">
        <v>227</v>
      </c>
      <c r="E20" s="8">
        <v>4900070054</v>
      </c>
      <c r="F20" s="15" t="s">
        <v>399</v>
      </c>
      <c r="G20" s="8">
        <v>36</v>
      </c>
      <c r="H20" s="8">
        <v>39</v>
      </c>
      <c r="I20" s="13" t="s">
        <v>26</v>
      </c>
      <c r="J20" s="8"/>
      <c r="K20" s="8"/>
    </row>
    <row r="21" spans="1:12" s="19" customFormat="1" ht="57" customHeight="1" x14ac:dyDescent="0.25">
      <c r="A21" s="55"/>
      <c r="B21" s="8">
        <v>3</v>
      </c>
      <c r="C21" s="74" t="s">
        <v>27</v>
      </c>
      <c r="D21" s="14" t="s">
        <v>33</v>
      </c>
      <c r="E21" s="8">
        <v>4400045640</v>
      </c>
      <c r="F21" s="15" t="s">
        <v>612</v>
      </c>
      <c r="G21" s="8">
        <v>0</v>
      </c>
      <c r="H21" s="8">
        <v>0</v>
      </c>
      <c r="I21" s="13" t="s">
        <v>26</v>
      </c>
      <c r="J21" s="8"/>
      <c r="K21" s="8"/>
    </row>
    <row r="22" spans="1:12" s="19" customFormat="1" ht="59.25" customHeight="1" x14ac:dyDescent="0.25">
      <c r="A22" s="55"/>
      <c r="B22" s="8">
        <v>0</v>
      </c>
      <c r="C22" s="74" t="s">
        <v>4</v>
      </c>
      <c r="D22" s="14" t="s">
        <v>33</v>
      </c>
      <c r="E22" s="8">
        <v>7400074504</v>
      </c>
      <c r="F22" s="15" t="s">
        <v>475</v>
      </c>
      <c r="G22" s="8">
        <v>143</v>
      </c>
      <c r="H22" s="8">
        <v>152</v>
      </c>
      <c r="I22" s="13" t="s">
        <v>26</v>
      </c>
      <c r="J22" s="8"/>
      <c r="K22" s="8"/>
    </row>
    <row r="23" spans="1:12" s="19" customFormat="1" ht="57" customHeight="1" x14ac:dyDescent="0.25">
      <c r="A23" s="55"/>
      <c r="B23" s="8">
        <v>10</v>
      </c>
      <c r="C23" s="74" t="s">
        <v>4</v>
      </c>
      <c r="D23" s="14" t="s">
        <v>33</v>
      </c>
      <c r="E23" s="8">
        <v>7400074304</v>
      </c>
      <c r="F23" s="15" t="s">
        <v>476</v>
      </c>
      <c r="G23" s="8">
        <v>793</v>
      </c>
      <c r="H23" s="8">
        <v>964</v>
      </c>
      <c r="I23" s="13" t="s">
        <v>26</v>
      </c>
      <c r="J23" s="8"/>
      <c r="K23" s="8"/>
    </row>
    <row r="24" spans="1:12" s="19" customFormat="1" ht="57" customHeight="1" x14ac:dyDescent="0.25">
      <c r="A24" s="55"/>
      <c r="B24" s="8">
        <v>0</v>
      </c>
      <c r="C24" s="74" t="s">
        <v>4</v>
      </c>
      <c r="D24" s="14" t="s">
        <v>33</v>
      </c>
      <c r="E24" s="8">
        <v>7700077699</v>
      </c>
      <c r="F24" s="15" t="s">
        <v>477</v>
      </c>
      <c r="G24" s="8">
        <v>16</v>
      </c>
      <c r="H24" s="8">
        <v>42</v>
      </c>
      <c r="I24" s="13" t="s">
        <v>26</v>
      </c>
      <c r="J24" s="8"/>
      <c r="K24" s="8"/>
    </row>
    <row r="25" spans="1:12" s="19" customFormat="1" ht="57" customHeight="1" x14ac:dyDescent="0.25">
      <c r="A25" s="55"/>
      <c r="B25" s="8">
        <v>8</v>
      </c>
      <c r="C25" s="74" t="s">
        <v>41</v>
      </c>
      <c r="D25" s="14" t="s">
        <v>8</v>
      </c>
      <c r="E25" s="8">
        <v>3000134205</v>
      </c>
      <c r="F25" s="15" t="s">
        <v>398</v>
      </c>
      <c r="G25" s="8">
        <v>11.4</v>
      </c>
      <c r="H25" s="8">
        <v>22.6</v>
      </c>
      <c r="I25" s="13" t="s">
        <v>13</v>
      </c>
      <c r="J25" s="8"/>
      <c r="K25" s="8"/>
    </row>
    <row r="26" spans="1:12" s="19" customFormat="1" ht="57" customHeight="1" x14ac:dyDescent="0.25">
      <c r="A26" s="55"/>
      <c r="B26" s="8">
        <v>1</v>
      </c>
      <c r="C26" s="74" t="s">
        <v>130</v>
      </c>
      <c r="D26" s="14" t="s">
        <v>33</v>
      </c>
      <c r="E26" s="8">
        <v>7100077148</v>
      </c>
      <c r="F26" s="15" t="s">
        <v>400</v>
      </c>
      <c r="G26" s="8">
        <v>0</v>
      </c>
      <c r="H26" s="8">
        <v>0</v>
      </c>
      <c r="I26" s="13" t="s">
        <v>26</v>
      </c>
      <c r="J26" s="16"/>
      <c r="K26" s="16"/>
    </row>
    <row r="27" spans="1:12" s="19" customFormat="1" ht="57" customHeight="1" x14ac:dyDescent="0.25">
      <c r="A27" s="55"/>
      <c r="B27" s="8">
        <v>1</v>
      </c>
      <c r="C27" s="74" t="s">
        <v>130</v>
      </c>
      <c r="D27" s="14" t="s">
        <v>33</v>
      </c>
      <c r="E27" s="8">
        <v>7100077246</v>
      </c>
      <c r="F27" s="15" t="s">
        <v>401</v>
      </c>
      <c r="G27" s="8">
        <v>0</v>
      </c>
      <c r="H27" s="8">
        <v>0</v>
      </c>
      <c r="I27" s="13" t="s">
        <v>26</v>
      </c>
      <c r="J27" s="16"/>
      <c r="K27" s="16"/>
    </row>
    <row r="28" spans="1:12" s="19" customFormat="1" ht="57" customHeight="1" x14ac:dyDescent="0.25">
      <c r="A28" s="55"/>
      <c r="B28" s="8">
        <v>3</v>
      </c>
      <c r="C28" s="74" t="s">
        <v>45</v>
      </c>
      <c r="D28" s="14" t="s">
        <v>33</v>
      </c>
      <c r="E28" s="8">
        <v>4600040713</v>
      </c>
      <c r="F28" s="15" t="s">
        <v>613</v>
      </c>
      <c r="G28" s="8">
        <v>140</v>
      </c>
      <c r="H28" s="8">
        <v>165</v>
      </c>
      <c r="I28" s="13" t="s">
        <v>26</v>
      </c>
      <c r="J28" s="16"/>
      <c r="K28" s="16"/>
    </row>
    <row r="29" spans="1:12" s="19" customFormat="1" ht="57" customHeight="1" x14ac:dyDescent="0.25">
      <c r="A29" s="55"/>
      <c r="B29" s="8">
        <v>3</v>
      </c>
      <c r="C29" s="74" t="s">
        <v>32</v>
      </c>
      <c r="D29" s="14" t="s">
        <v>33</v>
      </c>
      <c r="E29" s="8">
        <v>4600046618</v>
      </c>
      <c r="F29" s="15" t="s">
        <v>614</v>
      </c>
      <c r="G29" s="202" t="s">
        <v>619</v>
      </c>
      <c r="H29" s="202"/>
      <c r="I29" s="13" t="s">
        <v>26</v>
      </c>
      <c r="J29" s="16"/>
      <c r="K29" s="16"/>
    </row>
    <row r="30" spans="1:12" s="19" customFormat="1" ht="57" customHeight="1" x14ac:dyDescent="0.25">
      <c r="A30" s="55"/>
      <c r="B30" s="8">
        <v>2</v>
      </c>
      <c r="C30" s="74" t="s">
        <v>57</v>
      </c>
      <c r="D30" s="14" t="s">
        <v>33</v>
      </c>
      <c r="E30" s="8">
        <v>4900060002</v>
      </c>
      <c r="F30" s="15" t="s">
        <v>615</v>
      </c>
      <c r="G30" s="8">
        <v>30</v>
      </c>
      <c r="H30" s="8">
        <v>35</v>
      </c>
      <c r="I30" s="13" t="s">
        <v>26</v>
      </c>
      <c r="J30" s="10"/>
      <c r="K30" s="10"/>
    </row>
    <row r="31" spans="1:12" s="19" customFormat="1" ht="57" customHeight="1" x14ac:dyDescent="0.25">
      <c r="A31" s="55"/>
      <c r="B31" s="8">
        <v>3</v>
      </c>
      <c r="C31" s="76" t="s">
        <v>50</v>
      </c>
      <c r="D31" s="14" t="s">
        <v>33</v>
      </c>
      <c r="E31" s="8">
        <v>4800048151</v>
      </c>
      <c r="F31" s="15" t="s">
        <v>326</v>
      </c>
      <c r="G31" s="8">
        <v>255</v>
      </c>
      <c r="H31" s="8">
        <v>257</v>
      </c>
      <c r="I31" s="13" t="s">
        <v>26</v>
      </c>
      <c r="J31" s="8"/>
      <c r="K31" s="8"/>
    </row>
    <row r="32" spans="1:12" s="19" customFormat="1" ht="57" customHeight="1" x14ac:dyDescent="0.25">
      <c r="A32" s="55"/>
      <c r="B32" s="8">
        <v>3</v>
      </c>
      <c r="C32" s="76" t="s">
        <v>50</v>
      </c>
      <c r="D32" s="14" t="s">
        <v>33</v>
      </c>
      <c r="E32" s="10">
        <v>4800048146</v>
      </c>
      <c r="F32" s="15" t="s">
        <v>327</v>
      </c>
      <c r="G32" s="8">
        <v>255</v>
      </c>
      <c r="H32" s="8">
        <v>257</v>
      </c>
      <c r="I32" s="13" t="s">
        <v>26</v>
      </c>
      <c r="J32" s="8"/>
      <c r="K32" s="8"/>
    </row>
    <row r="33" spans="1:11" s="19" customFormat="1" ht="57" customHeight="1" x14ac:dyDescent="0.25">
      <c r="A33" s="55"/>
      <c r="B33" s="8">
        <v>5</v>
      </c>
      <c r="C33" s="76" t="s">
        <v>46</v>
      </c>
      <c r="D33" s="14" t="s">
        <v>33</v>
      </c>
      <c r="E33" s="10">
        <v>4800048494</v>
      </c>
      <c r="F33" s="15" t="s">
        <v>616</v>
      </c>
      <c r="G33" s="282" t="s">
        <v>620</v>
      </c>
      <c r="H33" s="283"/>
      <c r="I33" s="13" t="s">
        <v>26</v>
      </c>
      <c r="J33" s="8"/>
      <c r="K33" s="8"/>
    </row>
    <row r="34" spans="1:11" s="19" customFormat="1" ht="57" customHeight="1" x14ac:dyDescent="0.25">
      <c r="A34" s="55"/>
      <c r="B34" s="8">
        <v>1</v>
      </c>
      <c r="C34" s="74" t="s">
        <v>47</v>
      </c>
      <c r="D34" s="14" t="s">
        <v>33</v>
      </c>
      <c r="E34" s="8">
        <v>7200072715</v>
      </c>
      <c r="F34" s="15" t="s">
        <v>617</v>
      </c>
      <c r="G34" s="8">
        <v>240</v>
      </c>
      <c r="H34" s="8">
        <v>376</v>
      </c>
      <c r="I34" s="13" t="s">
        <v>26</v>
      </c>
      <c r="J34" s="15"/>
      <c r="K34" s="8"/>
    </row>
    <row r="35" spans="1:11" s="19" customFormat="1" ht="57" customHeight="1" x14ac:dyDescent="0.25">
      <c r="A35" s="55"/>
      <c r="B35" s="8">
        <v>5</v>
      </c>
      <c r="C35" s="74" t="s">
        <v>47</v>
      </c>
      <c r="D35" s="14" t="s">
        <v>33</v>
      </c>
      <c r="E35" s="8">
        <v>7300073378</v>
      </c>
      <c r="F35" s="15" t="s">
        <v>151</v>
      </c>
      <c r="G35" s="8">
        <v>240</v>
      </c>
      <c r="H35" s="8">
        <v>376</v>
      </c>
      <c r="I35" s="13" t="s">
        <v>26</v>
      </c>
      <c r="J35" s="8"/>
      <c r="K35" s="8"/>
    </row>
    <row r="36" spans="1:11" s="19" customFormat="1" ht="57" customHeight="1" x14ac:dyDescent="0.25">
      <c r="A36" s="55"/>
      <c r="B36" s="8">
        <v>1</v>
      </c>
      <c r="C36" s="74" t="s">
        <v>47</v>
      </c>
      <c r="D36" s="14" t="s">
        <v>33</v>
      </c>
      <c r="E36" s="8">
        <v>5900059791</v>
      </c>
      <c r="F36" s="15" t="s">
        <v>361</v>
      </c>
      <c r="G36" s="8">
        <v>29</v>
      </c>
      <c r="H36" s="8">
        <v>42</v>
      </c>
      <c r="I36" s="13" t="s">
        <v>26</v>
      </c>
      <c r="J36" s="8"/>
      <c r="K36" s="116"/>
    </row>
    <row r="37" spans="1:11" s="19" customFormat="1" ht="57" customHeight="1" x14ac:dyDescent="0.25">
      <c r="A37" s="55"/>
      <c r="B37" s="8">
        <v>1</v>
      </c>
      <c r="C37" s="74" t="s">
        <v>47</v>
      </c>
      <c r="D37" s="14" t="s">
        <v>33</v>
      </c>
      <c r="E37" s="8">
        <v>7200072707</v>
      </c>
      <c r="F37" s="15" t="s">
        <v>320</v>
      </c>
      <c r="G37" s="8">
        <v>240</v>
      </c>
      <c r="H37" s="8">
        <v>376</v>
      </c>
      <c r="I37" s="13" t="s">
        <v>26</v>
      </c>
      <c r="J37" s="8"/>
      <c r="K37" s="8"/>
    </row>
    <row r="38" spans="1:11" s="19" customFormat="1" ht="57" customHeight="1" x14ac:dyDescent="0.25">
      <c r="A38" s="55"/>
      <c r="B38" s="8">
        <v>0</v>
      </c>
      <c r="C38" s="74" t="s">
        <v>48</v>
      </c>
      <c r="D38" s="14" t="s">
        <v>227</v>
      </c>
      <c r="E38" s="8">
        <v>4600042024</v>
      </c>
      <c r="F38" s="15" t="s">
        <v>498</v>
      </c>
      <c r="G38" s="8">
        <v>25</v>
      </c>
      <c r="H38" s="8">
        <v>36</v>
      </c>
      <c r="I38" s="8" t="s">
        <v>26</v>
      </c>
      <c r="J38" s="8"/>
      <c r="K38" s="8"/>
    </row>
    <row r="39" spans="1:11" s="19" customFormat="1" ht="57" customHeight="1" x14ac:dyDescent="0.25">
      <c r="A39" s="55"/>
      <c r="B39" s="8">
        <v>10</v>
      </c>
      <c r="C39" s="74" t="s">
        <v>48</v>
      </c>
      <c r="D39" s="14" t="s">
        <v>227</v>
      </c>
      <c r="E39" s="8">
        <v>4600042073</v>
      </c>
      <c r="F39" s="15" t="s">
        <v>499</v>
      </c>
      <c r="G39" s="8">
        <v>221</v>
      </c>
      <c r="H39" s="8">
        <v>240</v>
      </c>
      <c r="I39" s="8" t="s">
        <v>26</v>
      </c>
      <c r="J39" s="8"/>
      <c r="K39" s="8"/>
    </row>
    <row r="40" spans="1:11" ht="57" customHeight="1" x14ac:dyDescent="0.65">
      <c r="A40" s="55"/>
      <c r="B40" s="8">
        <v>0</v>
      </c>
      <c r="C40" s="74" t="s">
        <v>48</v>
      </c>
      <c r="D40" s="14" t="s">
        <v>10</v>
      </c>
      <c r="E40" s="8">
        <v>4600042260</v>
      </c>
      <c r="F40" s="15" t="s">
        <v>500</v>
      </c>
      <c r="G40" s="8">
        <v>1</v>
      </c>
      <c r="H40" s="8">
        <v>2</v>
      </c>
      <c r="I40" s="8" t="s">
        <v>26</v>
      </c>
      <c r="J40" s="8"/>
      <c r="K40" s="8"/>
    </row>
    <row r="41" spans="1:11" ht="57" customHeight="1" x14ac:dyDescent="0.65">
      <c r="A41" s="55"/>
      <c r="B41" s="8">
        <v>0</v>
      </c>
      <c r="C41" s="74" t="s">
        <v>48</v>
      </c>
      <c r="D41" s="14" t="s">
        <v>10</v>
      </c>
      <c r="E41" s="8">
        <v>4600047052</v>
      </c>
      <c r="F41" s="15" t="s">
        <v>501</v>
      </c>
      <c r="G41" s="8">
        <v>5</v>
      </c>
      <c r="H41" s="8">
        <v>8</v>
      </c>
      <c r="I41" s="8" t="s">
        <v>26</v>
      </c>
      <c r="J41" s="8"/>
      <c r="K41" s="8"/>
    </row>
    <row r="42" spans="1:11" ht="57" customHeight="1" x14ac:dyDescent="0.65">
      <c r="A42" s="55"/>
      <c r="B42" s="61"/>
      <c r="C42" s="278" t="s">
        <v>132</v>
      </c>
      <c r="D42" s="279"/>
      <c r="E42" s="279"/>
      <c r="F42" s="279"/>
      <c r="G42" s="279"/>
      <c r="H42" s="279"/>
      <c r="I42" s="279"/>
      <c r="J42" s="279"/>
      <c r="K42" s="280"/>
    </row>
    <row r="43" spans="1:11" ht="57" customHeight="1" x14ac:dyDescent="0.65">
      <c r="A43" s="55"/>
      <c r="B43" s="8">
        <v>2</v>
      </c>
      <c r="C43" s="74" t="s">
        <v>32</v>
      </c>
      <c r="D43" s="14" t="s">
        <v>10</v>
      </c>
      <c r="E43" s="8">
        <v>4600046768</v>
      </c>
      <c r="F43" s="15" t="s">
        <v>233</v>
      </c>
      <c r="G43" s="8">
        <v>43</v>
      </c>
      <c r="H43" s="8">
        <v>45</v>
      </c>
      <c r="I43" s="13" t="s">
        <v>26</v>
      </c>
      <c r="J43" s="8"/>
      <c r="K43" s="8"/>
    </row>
    <row r="44" spans="1:11" ht="57" customHeight="1" x14ac:dyDescent="0.65">
      <c r="A44" s="55"/>
      <c r="B44" s="8">
        <v>1</v>
      </c>
      <c r="C44" s="74" t="s">
        <v>32</v>
      </c>
      <c r="D44" s="14" t="s">
        <v>10</v>
      </c>
      <c r="E44" s="8">
        <v>4600046777</v>
      </c>
      <c r="F44" s="15" t="s">
        <v>234</v>
      </c>
      <c r="G44" s="8">
        <v>23</v>
      </c>
      <c r="H44" s="8">
        <v>23</v>
      </c>
      <c r="I44" s="13" t="s">
        <v>26</v>
      </c>
      <c r="J44" s="8"/>
      <c r="K44" s="8"/>
    </row>
    <row r="45" spans="1:11" ht="57" customHeight="1" x14ac:dyDescent="0.65">
      <c r="A45" s="55"/>
      <c r="B45" s="8">
        <v>1</v>
      </c>
      <c r="C45" s="74" t="s">
        <v>46</v>
      </c>
      <c r="D45" s="14" t="s">
        <v>6</v>
      </c>
      <c r="E45" s="8">
        <v>3200032492</v>
      </c>
      <c r="F45" s="15" t="s">
        <v>458</v>
      </c>
      <c r="G45" s="8">
        <v>24</v>
      </c>
      <c r="H45" s="8">
        <v>36</v>
      </c>
      <c r="I45" s="17" t="s">
        <v>14</v>
      </c>
      <c r="J45" s="8"/>
      <c r="K45" s="8"/>
    </row>
    <row r="46" spans="1:11" ht="57" customHeight="1" x14ac:dyDescent="0.65">
      <c r="A46" s="55"/>
      <c r="B46" s="8">
        <v>1</v>
      </c>
      <c r="C46" s="74" t="s">
        <v>46</v>
      </c>
      <c r="D46" s="14" t="s">
        <v>10</v>
      </c>
      <c r="E46" s="8">
        <v>4000040928</v>
      </c>
      <c r="F46" s="15" t="s">
        <v>235</v>
      </c>
      <c r="G46" s="8">
        <v>12</v>
      </c>
      <c r="H46" s="8">
        <v>14</v>
      </c>
      <c r="I46" s="13" t="s">
        <v>26</v>
      </c>
      <c r="J46" s="8"/>
      <c r="K46" s="8"/>
    </row>
    <row r="47" spans="1:11" ht="57" customHeight="1" x14ac:dyDescent="0.65">
      <c r="A47" s="55"/>
      <c r="B47" s="8">
        <v>1</v>
      </c>
      <c r="C47" s="74" t="s">
        <v>46</v>
      </c>
      <c r="D47" s="14" t="s">
        <v>11</v>
      </c>
      <c r="E47" s="8">
        <v>3900040498</v>
      </c>
      <c r="F47" s="15" t="s">
        <v>236</v>
      </c>
      <c r="G47" s="8">
        <v>14</v>
      </c>
      <c r="H47" s="8">
        <v>16</v>
      </c>
      <c r="I47" s="17" t="s">
        <v>14</v>
      </c>
      <c r="J47" s="8"/>
      <c r="K47" s="8"/>
    </row>
  </sheetData>
  <autoFilter ref="A2:K47" xr:uid="{0056218A-BD76-4C70-9D2D-CF56892027A7}"/>
  <sortState xmlns:xlrd2="http://schemas.microsoft.com/office/spreadsheetml/2017/richdata2" ref="C18:K40">
    <sortCondition ref="C18:C40"/>
  </sortState>
  <mergeCells count="6">
    <mergeCell ref="G1:I1"/>
    <mergeCell ref="C1:E1"/>
    <mergeCell ref="C42:K42"/>
    <mergeCell ref="C3:K3"/>
    <mergeCell ref="C16:K16"/>
    <mergeCell ref="G33:H33"/>
  </mergeCells>
  <phoneticPr fontId="2" type="noConversion"/>
  <pageMargins left="0.23622047244094488" right="0.23622047244094488" top="0.74803149606299213" bottom="0.74803149606299213" header="0.31496062992125984" footer="0.31496062992125984"/>
  <pageSetup paperSize="8" scale="38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12AB2-D804-4856-9DB3-A2A812A04F7E}">
  <sheetPr codeName="Sheet4">
    <pageSetUpPr fitToPage="1"/>
  </sheetPr>
  <dimension ref="A1:S220"/>
  <sheetViews>
    <sheetView view="pageBreakPreview" zoomScale="40" zoomScaleNormal="100" zoomScaleSheetLayoutView="40" workbookViewId="0">
      <pane ySplit="2" topLeftCell="A190" activePane="bottomLeft" state="frozen"/>
      <selection activeCell="D160" sqref="D160"/>
      <selection pane="bottomLeft" activeCell="U215" sqref="U215"/>
    </sheetView>
  </sheetViews>
  <sheetFormatPr defaultColWidth="9.109375" defaultRowHeight="37.799999999999997" x14ac:dyDescent="0.25"/>
  <cols>
    <col min="1" max="1" width="27.6640625" style="41" bestFit="1" customWidth="1"/>
    <col min="2" max="2" width="22" style="29" bestFit="1" customWidth="1"/>
    <col min="3" max="3" width="34.109375" style="29" bestFit="1" customWidth="1"/>
    <col min="4" max="4" width="137" style="42" customWidth="1"/>
    <col min="5" max="5" width="32.33203125" style="29" hidden="1" customWidth="1"/>
    <col min="6" max="6" width="35.109375" style="29" bestFit="1" customWidth="1"/>
    <col min="7" max="7" width="36.33203125" style="29" bestFit="1" customWidth="1"/>
    <col min="8" max="8" width="20.109375" style="29" bestFit="1" customWidth="1"/>
    <col min="9" max="9" width="46.33203125" style="29" bestFit="1" customWidth="1"/>
    <col min="10" max="10" width="43.6640625" style="29" bestFit="1" customWidth="1"/>
    <col min="11" max="16384" width="9.109375" style="29"/>
  </cols>
  <sheetData>
    <row r="1" spans="1:10" s="19" customFormat="1" x14ac:dyDescent="0.25">
      <c r="A1" s="240" t="s">
        <v>660</v>
      </c>
      <c r="B1" s="240"/>
      <c r="C1" s="240"/>
      <c r="D1" s="9" t="s">
        <v>268</v>
      </c>
      <c r="E1" s="9"/>
      <c r="F1" s="284">
        <f ca="1">TODAY()+1</f>
        <v>46175</v>
      </c>
      <c r="G1" s="284"/>
      <c r="H1" s="284"/>
      <c r="I1" s="73" t="s">
        <v>67</v>
      </c>
      <c r="J1" s="48">
        <f ca="1">F1+1</f>
        <v>46176</v>
      </c>
    </row>
    <row r="2" spans="1:10" s="25" customFormat="1" x14ac:dyDescent="0.25">
      <c r="A2" s="77" t="s">
        <v>0</v>
      </c>
      <c r="B2" s="78" t="s">
        <v>28</v>
      </c>
      <c r="C2" s="77" t="s">
        <v>1</v>
      </c>
      <c r="D2" s="77" t="s">
        <v>2</v>
      </c>
      <c r="E2" s="77" t="s">
        <v>86</v>
      </c>
      <c r="F2" s="78" t="s">
        <v>18</v>
      </c>
      <c r="G2" s="78" t="s">
        <v>24</v>
      </c>
      <c r="H2" s="78" t="s">
        <v>30</v>
      </c>
      <c r="I2" s="78" t="s">
        <v>68</v>
      </c>
      <c r="J2" s="78" t="s">
        <v>15</v>
      </c>
    </row>
    <row r="3" spans="1:10" s="25" customFormat="1" x14ac:dyDescent="0.25">
      <c r="A3" s="288" t="s">
        <v>62</v>
      </c>
      <c r="B3" s="289"/>
      <c r="C3" s="289"/>
      <c r="D3" s="289"/>
      <c r="E3" s="289"/>
      <c r="F3" s="289"/>
      <c r="G3" s="289"/>
      <c r="H3" s="289"/>
      <c r="I3" s="289"/>
      <c r="J3" s="290"/>
    </row>
    <row r="4" spans="1:10" s="28" customFormat="1" x14ac:dyDescent="0.25">
      <c r="A4" s="87" t="s">
        <v>62</v>
      </c>
      <c r="B4" s="10"/>
      <c r="C4" s="26">
        <v>2300023256</v>
      </c>
      <c r="D4" s="27" t="s">
        <v>152</v>
      </c>
      <c r="E4" s="10"/>
      <c r="F4" s="26">
        <v>150</v>
      </c>
      <c r="G4" s="26">
        <v>150</v>
      </c>
      <c r="H4" s="26" t="s">
        <v>14</v>
      </c>
      <c r="I4" s="10"/>
      <c r="J4" s="10"/>
    </row>
    <row r="5" spans="1:10" s="28" customFormat="1" x14ac:dyDescent="0.25">
      <c r="A5" s="87" t="s">
        <v>62</v>
      </c>
      <c r="B5" s="10"/>
      <c r="C5" s="26">
        <v>3300033541</v>
      </c>
      <c r="D5" s="27" t="s">
        <v>344</v>
      </c>
      <c r="E5" s="10"/>
      <c r="F5" s="26">
        <v>0.6</v>
      </c>
      <c r="G5" s="26">
        <v>0.6</v>
      </c>
      <c r="H5" s="26" t="s">
        <v>13</v>
      </c>
      <c r="I5" s="10"/>
      <c r="J5" s="10"/>
    </row>
    <row r="6" spans="1:10" s="28" customFormat="1" x14ac:dyDescent="0.25">
      <c r="A6" s="87" t="s">
        <v>62</v>
      </c>
      <c r="B6" s="10"/>
      <c r="C6" s="26">
        <v>3400034509</v>
      </c>
      <c r="D6" s="27" t="s">
        <v>345</v>
      </c>
      <c r="E6" s="10"/>
      <c r="F6" s="26">
        <v>0.2</v>
      </c>
      <c r="G6" s="26">
        <v>0.2</v>
      </c>
      <c r="H6" s="26" t="s">
        <v>13</v>
      </c>
      <c r="I6" s="10"/>
      <c r="J6" s="10"/>
    </row>
    <row r="7" spans="1:10" s="28" customFormat="1" x14ac:dyDescent="0.25">
      <c r="A7" s="87" t="s">
        <v>62</v>
      </c>
      <c r="B7" s="10"/>
      <c r="C7" s="26">
        <v>3900042828</v>
      </c>
      <c r="D7" s="27" t="s">
        <v>472</v>
      </c>
      <c r="E7" s="10"/>
      <c r="F7" s="26">
        <v>2.5</v>
      </c>
      <c r="G7" s="26">
        <v>2.5</v>
      </c>
      <c r="H7" s="26" t="s">
        <v>13</v>
      </c>
      <c r="I7" s="10"/>
      <c r="J7" s="10"/>
    </row>
    <row r="8" spans="1:10" x14ac:dyDescent="0.25">
      <c r="A8" s="87" t="s">
        <v>62</v>
      </c>
      <c r="B8" s="10"/>
      <c r="C8" s="26">
        <v>2000121089</v>
      </c>
      <c r="D8" s="27" t="s">
        <v>346</v>
      </c>
      <c r="E8" s="10"/>
      <c r="F8" s="26">
        <v>0.18</v>
      </c>
      <c r="G8" s="26">
        <v>0.18</v>
      </c>
      <c r="H8" s="26" t="s">
        <v>13</v>
      </c>
      <c r="I8" s="10"/>
      <c r="J8" s="10"/>
    </row>
    <row r="9" spans="1:10" x14ac:dyDescent="0.25">
      <c r="A9" s="87" t="s">
        <v>62</v>
      </c>
      <c r="B9" s="10"/>
      <c r="C9" s="26">
        <v>2000020636</v>
      </c>
      <c r="D9" s="27" t="s">
        <v>347</v>
      </c>
      <c r="E9" s="10"/>
      <c r="F9" s="26">
        <v>12</v>
      </c>
      <c r="G9" s="26">
        <v>12</v>
      </c>
      <c r="H9" s="26" t="s">
        <v>84</v>
      </c>
      <c r="I9" s="10"/>
      <c r="J9" s="10"/>
    </row>
    <row r="10" spans="1:10" x14ac:dyDescent="0.25">
      <c r="A10" s="288" t="s">
        <v>396</v>
      </c>
      <c r="B10" s="289"/>
      <c r="C10" s="289"/>
      <c r="D10" s="289"/>
      <c r="E10" s="289"/>
      <c r="F10" s="289"/>
      <c r="G10" s="289"/>
      <c r="H10" s="289"/>
      <c r="I10" s="289"/>
      <c r="J10" s="290"/>
    </row>
    <row r="11" spans="1:10" s="28" customFormat="1" x14ac:dyDescent="0.25">
      <c r="A11" s="87" t="s">
        <v>23</v>
      </c>
      <c r="B11" s="30" t="s">
        <v>7</v>
      </c>
      <c r="C11" s="30">
        <v>7900079159</v>
      </c>
      <c r="D11" s="33" t="s">
        <v>92</v>
      </c>
      <c r="E11" s="30"/>
      <c r="F11" s="30">
        <v>0</v>
      </c>
      <c r="G11" s="30">
        <v>0</v>
      </c>
      <c r="H11" s="30" t="s">
        <v>84</v>
      </c>
      <c r="I11" s="26"/>
      <c r="J11" s="26"/>
    </row>
    <row r="12" spans="1:10" x14ac:dyDescent="0.25">
      <c r="A12" s="87" t="s">
        <v>23</v>
      </c>
      <c r="B12" s="10"/>
      <c r="C12" s="10">
        <v>3200032241</v>
      </c>
      <c r="D12" s="11" t="s">
        <v>22</v>
      </c>
      <c r="E12" s="10">
        <v>80</v>
      </c>
      <c r="F12" s="10">
        <f>E12*$F$11/1000</f>
        <v>0</v>
      </c>
      <c r="G12" s="10">
        <f>E12*$G$11/1000</f>
        <v>0</v>
      </c>
      <c r="H12" s="10" t="s">
        <v>13</v>
      </c>
      <c r="I12" s="10"/>
      <c r="J12" s="10"/>
    </row>
    <row r="13" spans="1:10" s="28" customFormat="1" x14ac:dyDescent="0.25">
      <c r="A13" s="87" t="s">
        <v>23</v>
      </c>
      <c r="B13" s="26" t="s">
        <v>7</v>
      </c>
      <c r="C13" s="26">
        <v>3900041095</v>
      </c>
      <c r="D13" s="27" t="s">
        <v>93</v>
      </c>
      <c r="E13" s="26"/>
      <c r="F13" s="30">
        <v>0</v>
      </c>
      <c r="G13" s="30">
        <v>0</v>
      </c>
      <c r="H13" s="26" t="s">
        <v>84</v>
      </c>
      <c r="I13" s="87" t="s">
        <v>55</v>
      </c>
      <c r="J13" s="26"/>
    </row>
    <row r="14" spans="1:10" x14ac:dyDescent="0.25">
      <c r="A14" s="87" t="s">
        <v>23</v>
      </c>
      <c r="B14" s="10"/>
      <c r="C14" s="10" t="s">
        <v>143</v>
      </c>
      <c r="D14" s="11" t="s">
        <v>65</v>
      </c>
      <c r="E14" s="10">
        <v>50</v>
      </c>
      <c r="F14" s="10">
        <f>E14*$F$13/1000</f>
        <v>0</v>
      </c>
      <c r="G14" s="10">
        <f>E14*$G$13/1000</f>
        <v>0</v>
      </c>
      <c r="H14" s="10" t="s">
        <v>13</v>
      </c>
      <c r="I14" s="10"/>
      <c r="J14" s="10"/>
    </row>
    <row r="15" spans="1:10" x14ac:dyDescent="0.25">
      <c r="A15" s="87" t="s">
        <v>23</v>
      </c>
      <c r="B15" s="10"/>
      <c r="C15" s="10"/>
      <c r="D15" s="11" t="s">
        <v>53</v>
      </c>
      <c r="E15" s="10">
        <v>40</v>
      </c>
      <c r="F15" s="10">
        <f>E15*$F$13/1000</f>
        <v>0</v>
      </c>
      <c r="G15" s="10">
        <f>E15*$G$13/1000</f>
        <v>0</v>
      </c>
      <c r="H15" s="10" t="s">
        <v>13</v>
      </c>
      <c r="I15" s="10"/>
      <c r="J15" s="10"/>
    </row>
    <row r="16" spans="1:10" s="28" customFormat="1" x14ac:dyDescent="0.25">
      <c r="A16" s="87" t="s">
        <v>23</v>
      </c>
      <c r="B16" s="26" t="s">
        <v>7</v>
      </c>
      <c r="C16" s="26">
        <v>3000132277</v>
      </c>
      <c r="D16" s="27" t="s">
        <v>54</v>
      </c>
      <c r="E16" s="26"/>
      <c r="F16" s="30">
        <v>0</v>
      </c>
      <c r="G16" s="30">
        <v>0</v>
      </c>
      <c r="H16" s="26" t="s">
        <v>84</v>
      </c>
      <c r="I16" s="89" t="s">
        <v>55</v>
      </c>
      <c r="J16" s="26"/>
    </row>
    <row r="17" spans="1:10" x14ac:dyDescent="0.25">
      <c r="A17" s="87" t="s">
        <v>23</v>
      </c>
      <c r="B17" s="10"/>
      <c r="C17" s="10"/>
      <c r="D17" s="11" t="s">
        <v>94</v>
      </c>
      <c r="E17" s="10">
        <v>60</v>
      </c>
      <c r="F17" s="10">
        <f>E17*$F$16/1000</f>
        <v>0</v>
      </c>
      <c r="G17" s="10">
        <f>E17*$G$16/1000</f>
        <v>0</v>
      </c>
      <c r="H17" s="10" t="s">
        <v>13</v>
      </c>
      <c r="I17" s="10"/>
      <c r="J17" s="10"/>
    </row>
    <row r="18" spans="1:10" x14ac:dyDescent="0.25">
      <c r="A18" s="87" t="s">
        <v>23</v>
      </c>
      <c r="B18" s="10"/>
      <c r="C18" s="10"/>
      <c r="D18" s="11" t="s">
        <v>95</v>
      </c>
      <c r="E18" s="10">
        <v>30</v>
      </c>
      <c r="F18" s="10">
        <f>E18*$F$16/1000</f>
        <v>0</v>
      </c>
      <c r="G18" s="10">
        <f>E18*$G$16/1000</f>
        <v>0</v>
      </c>
      <c r="H18" s="10" t="s">
        <v>13</v>
      </c>
      <c r="I18" s="10"/>
      <c r="J18" s="10"/>
    </row>
    <row r="19" spans="1:10" s="28" customFormat="1" x14ac:dyDescent="0.25">
      <c r="A19" s="87" t="s">
        <v>23</v>
      </c>
      <c r="B19" s="26" t="s">
        <v>7</v>
      </c>
      <c r="C19" s="30">
        <v>3000132276</v>
      </c>
      <c r="D19" s="27" t="s">
        <v>96</v>
      </c>
      <c r="E19" s="26"/>
      <c r="F19" s="30">
        <v>0</v>
      </c>
      <c r="G19" s="30">
        <v>0</v>
      </c>
      <c r="H19" s="26" t="s">
        <v>26</v>
      </c>
      <c r="I19" s="89" t="s">
        <v>60</v>
      </c>
      <c r="J19" s="26"/>
    </row>
    <row r="20" spans="1:10" s="28" customFormat="1" x14ac:dyDescent="0.25">
      <c r="A20" s="87" t="s">
        <v>23</v>
      </c>
      <c r="B20" s="26"/>
      <c r="C20" s="12">
        <v>2300023256</v>
      </c>
      <c r="D20" s="11" t="s">
        <v>152</v>
      </c>
      <c r="E20" s="10">
        <v>5</v>
      </c>
      <c r="F20" s="10">
        <f>E20*$F$19</f>
        <v>0</v>
      </c>
      <c r="G20" s="10">
        <f>E20*$G$19</f>
        <v>0</v>
      </c>
      <c r="H20" s="10" t="s">
        <v>14</v>
      </c>
      <c r="I20" s="226"/>
      <c r="J20" s="26"/>
    </row>
    <row r="21" spans="1:10" x14ac:dyDescent="0.25">
      <c r="A21" s="87" t="s">
        <v>23</v>
      </c>
      <c r="B21" s="10"/>
      <c r="C21" s="12">
        <v>2000020263</v>
      </c>
      <c r="D21" s="11" t="s">
        <v>402</v>
      </c>
      <c r="E21" s="10">
        <v>10</v>
      </c>
      <c r="F21" s="10">
        <f>E21*$F$19/1000</f>
        <v>0</v>
      </c>
      <c r="G21" s="10">
        <f>E21*$G$19/1000</f>
        <v>0</v>
      </c>
      <c r="H21" s="10" t="s">
        <v>13</v>
      </c>
      <c r="I21" s="118"/>
      <c r="J21" s="10"/>
    </row>
    <row r="22" spans="1:10" x14ac:dyDescent="0.25">
      <c r="A22" s="87" t="s">
        <v>23</v>
      </c>
      <c r="B22" s="10"/>
      <c r="C22" s="12">
        <v>2100021489</v>
      </c>
      <c r="D22" s="11" t="s">
        <v>53</v>
      </c>
      <c r="E22" s="10">
        <v>40</v>
      </c>
      <c r="F22" s="10">
        <f>E22*$F$19/1000</f>
        <v>0</v>
      </c>
      <c r="G22" s="10">
        <f>E22*$G$19/1000</f>
        <v>0</v>
      </c>
      <c r="H22" s="10" t="s">
        <v>13</v>
      </c>
      <c r="I22" s="118"/>
      <c r="J22" s="10"/>
    </row>
    <row r="23" spans="1:10" s="28" customFormat="1" x14ac:dyDescent="0.25">
      <c r="A23" s="87" t="s">
        <v>23</v>
      </c>
      <c r="B23" s="26" t="s">
        <v>7</v>
      </c>
      <c r="C23" s="30">
        <v>3900041098</v>
      </c>
      <c r="D23" s="27" t="s">
        <v>97</v>
      </c>
      <c r="E23" s="26"/>
      <c r="F23" s="30">
        <v>0</v>
      </c>
      <c r="G23" s="30">
        <v>0</v>
      </c>
      <c r="H23" s="26" t="s">
        <v>14</v>
      </c>
      <c r="I23" s="89" t="s">
        <v>60</v>
      </c>
      <c r="J23" s="26"/>
    </row>
    <row r="24" spans="1:10" x14ac:dyDescent="0.25">
      <c r="A24" s="87" t="s">
        <v>23</v>
      </c>
      <c r="B24" s="10"/>
      <c r="C24" s="10"/>
      <c r="D24" s="11" t="s">
        <v>22</v>
      </c>
      <c r="E24" s="10">
        <v>80</v>
      </c>
      <c r="F24" s="10">
        <f>E24*$F$23/1000</f>
        <v>0</v>
      </c>
      <c r="G24" s="10">
        <f>E24*$G$23/1000</f>
        <v>0</v>
      </c>
      <c r="H24" s="10" t="s">
        <v>13</v>
      </c>
      <c r="I24" s="118"/>
      <c r="J24" s="10"/>
    </row>
    <row r="25" spans="1:10" x14ac:dyDescent="0.25">
      <c r="A25" s="87" t="s">
        <v>23</v>
      </c>
      <c r="B25" s="10"/>
      <c r="C25" s="10"/>
      <c r="D25" s="11" t="s">
        <v>98</v>
      </c>
      <c r="E25" s="10">
        <v>1</v>
      </c>
      <c r="F25" s="10">
        <f>E25*$F$23</f>
        <v>0</v>
      </c>
      <c r="G25" s="10">
        <f>E25*$G$23</f>
        <v>0</v>
      </c>
      <c r="H25" s="10" t="s">
        <v>84</v>
      </c>
      <c r="I25" s="10"/>
      <c r="J25" s="10"/>
    </row>
    <row r="26" spans="1:10" s="28" customFormat="1" x14ac:dyDescent="0.25">
      <c r="A26" s="87" t="s">
        <v>23</v>
      </c>
      <c r="B26" s="26" t="s">
        <v>7</v>
      </c>
      <c r="C26" s="26">
        <v>3900041449</v>
      </c>
      <c r="D26" s="27" t="s">
        <v>25</v>
      </c>
      <c r="E26" s="26"/>
      <c r="F26" s="30">
        <v>0</v>
      </c>
      <c r="G26" s="30">
        <v>0</v>
      </c>
      <c r="H26" s="26" t="s">
        <v>14</v>
      </c>
      <c r="I26" s="26"/>
      <c r="J26" s="26"/>
    </row>
    <row r="27" spans="1:10" x14ac:dyDescent="0.25">
      <c r="A27" s="87" t="s">
        <v>23</v>
      </c>
      <c r="B27" s="10"/>
      <c r="C27" s="10"/>
      <c r="D27" s="11" t="s">
        <v>64</v>
      </c>
      <c r="E27" s="10">
        <v>90</v>
      </c>
      <c r="F27" s="12">
        <f>E27*$F$26/1000</f>
        <v>0</v>
      </c>
      <c r="G27" s="12">
        <f>E27*$G$26/1000</f>
        <v>0</v>
      </c>
      <c r="H27" s="10" t="s">
        <v>13</v>
      </c>
      <c r="I27" s="10"/>
      <c r="J27" s="10"/>
    </row>
    <row r="28" spans="1:10" x14ac:dyDescent="0.25">
      <c r="A28" s="87" t="s">
        <v>23</v>
      </c>
      <c r="B28" s="10"/>
      <c r="C28" s="10"/>
      <c r="D28" s="11" t="s">
        <v>89</v>
      </c>
      <c r="E28" s="10">
        <v>10</v>
      </c>
      <c r="F28" s="12">
        <f>E28*$F$26/1000</f>
        <v>0</v>
      </c>
      <c r="G28" s="12">
        <f>E28*$G$26/1000</f>
        <v>0</v>
      </c>
      <c r="H28" s="10" t="s">
        <v>13</v>
      </c>
      <c r="I28" s="10"/>
      <c r="J28" s="10"/>
    </row>
    <row r="29" spans="1:10" x14ac:dyDescent="0.25">
      <c r="A29" s="87" t="s">
        <v>23</v>
      </c>
      <c r="B29" s="10"/>
      <c r="C29" s="10"/>
      <c r="D29" s="11" t="s">
        <v>90</v>
      </c>
      <c r="E29" s="10">
        <v>10</v>
      </c>
      <c r="F29" s="12">
        <f>E29*$F$26/1000</f>
        <v>0</v>
      </c>
      <c r="G29" s="12">
        <f>E29*$G$26/1000</f>
        <v>0</v>
      </c>
      <c r="H29" s="10" t="s">
        <v>13</v>
      </c>
      <c r="I29" s="10"/>
      <c r="J29" s="10"/>
    </row>
    <row r="30" spans="1:10" x14ac:dyDescent="0.25">
      <c r="A30" s="87" t="s">
        <v>23</v>
      </c>
      <c r="B30" s="10"/>
      <c r="C30" s="10"/>
      <c r="D30" s="11" t="s">
        <v>91</v>
      </c>
      <c r="E30" s="10">
        <v>10</v>
      </c>
      <c r="F30" s="12">
        <f>E30*$F$26/1000</f>
        <v>0</v>
      </c>
      <c r="G30" s="12">
        <f>E30*$G$26/1000</f>
        <v>0</v>
      </c>
      <c r="H30" s="10" t="s">
        <v>13</v>
      </c>
      <c r="I30" s="10"/>
      <c r="J30" s="10"/>
    </row>
    <row r="31" spans="1:10" s="28" customFormat="1" x14ac:dyDescent="0.25">
      <c r="A31" s="87" t="s">
        <v>49</v>
      </c>
      <c r="B31" s="26" t="s">
        <v>7</v>
      </c>
      <c r="C31" s="26">
        <v>4900054101</v>
      </c>
      <c r="D31" s="27" t="s">
        <v>276</v>
      </c>
      <c r="E31" s="26"/>
      <c r="F31" s="26">
        <v>4</v>
      </c>
      <c r="G31" s="26">
        <v>4</v>
      </c>
      <c r="H31" s="26" t="s">
        <v>26</v>
      </c>
      <c r="I31" s="10"/>
      <c r="J31" s="26"/>
    </row>
    <row r="32" spans="1:10" s="28" customFormat="1" x14ac:dyDescent="0.25">
      <c r="A32" s="87" t="s">
        <v>49</v>
      </c>
      <c r="B32" s="26" t="s">
        <v>7</v>
      </c>
      <c r="C32" s="26">
        <v>5900059449</v>
      </c>
      <c r="D32" s="27" t="s">
        <v>277</v>
      </c>
      <c r="E32" s="26"/>
      <c r="F32" s="26">
        <v>26</v>
      </c>
      <c r="G32" s="26">
        <v>28</v>
      </c>
      <c r="H32" s="26" t="s">
        <v>26</v>
      </c>
      <c r="I32" s="10"/>
      <c r="J32" s="26"/>
    </row>
    <row r="33" spans="1:10" s="28" customFormat="1" x14ac:dyDescent="0.25">
      <c r="A33" s="87" t="s">
        <v>49</v>
      </c>
      <c r="B33" s="26" t="s">
        <v>7</v>
      </c>
      <c r="C33" s="26">
        <v>6900070033</v>
      </c>
      <c r="D33" s="27" t="s">
        <v>621</v>
      </c>
      <c r="E33" s="26"/>
      <c r="F33" s="26">
        <v>4</v>
      </c>
      <c r="G33" s="26">
        <v>4</v>
      </c>
      <c r="H33" s="26" t="s">
        <v>26</v>
      </c>
      <c r="I33" s="291" t="s">
        <v>639</v>
      </c>
      <c r="J33" s="292"/>
    </row>
    <row r="34" spans="1:10" x14ac:dyDescent="0.25">
      <c r="A34" s="87" t="s">
        <v>49</v>
      </c>
      <c r="B34" s="26"/>
      <c r="C34" s="10">
        <v>2200022264</v>
      </c>
      <c r="D34" s="11" t="s">
        <v>581</v>
      </c>
      <c r="E34" s="10">
        <v>20</v>
      </c>
      <c r="F34" s="10">
        <f>($F$31+$F$32+$F$33)*E34/1000</f>
        <v>0.68</v>
      </c>
      <c r="G34" s="10">
        <f>($G$31+$G$32+$G$33)*E34/1000</f>
        <v>0.72</v>
      </c>
      <c r="H34" s="10" t="s">
        <v>13</v>
      </c>
      <c r="I34" s="10"/>
      <c r="J34" s="10"/>
    </row>
    <row r="35" spans="1:10" x14ac:dyDescent="0.25">
      <c r="A35" s="87" t="s">
        <v>49</v>
      </c>
      <c r="B35" s="10"/>
      <c r="C35" s="10">
        <v>3200032357</v>
      </c>
      <c r="D35" s="11" t="s">
        <v>278</v>
      </c>
      <c r="E35" s="10">
        <v>20</v>
      </c>
      <c r="F35" s="10">
        <f t="shared" ref="F35" si="0">($F$31+$F$32+$F$33)*E35/1000</f>
        <v>0.68</v>
      </c>
      <c r="G35" s="10">
        <f t="shared" ref="G35" si="1">($G$31+$G$32+$G$33)*E35/1000</f>
        <v>0.72</v>
      </c>
      <c r="H35" s="10" t="s">
        <v>13</v>
      </c>
      <c r="I35" s="10"/>
      <c r="J35" s="10"/>
    </row>
    <row r="36" spans="1:10" x14ac:dyDescent="0.25">
      <c r="A36" s="87" t="s">
        <v>49</v>
      </c>
      <c r="B36" s="10"/>
      <c r="C36" s="10">
        <v>3600036267</v>
      </c>
      <c r="D36" s="11" t="s">
        <v>275</v>
      </c>
      <c r="E36" s="10">
        <v>1</v>
      </c>
      <c r="F36" s="10">
        <f>($F$31+$F$32+$F$33)*E36</f>
        <v>34</v>
      </c>
      <c r="G36" s="10">
        <f>($G$31+$G$32+$G$33)*E36</f>
        <v>36</v>
      </c>
      <c r="H36" s="10" t="s">
        <v>84</v>
      </c>
      <c r="I36" s="10"/>
      <c r="J36" s="10"/>
    </row>
    <row r="37" spans="1:10" s="28" customFormat="1" x14ac:dyDescent="0.25">
      <c r="A37" s="87" t="s">
        <v>49</v>
      </c>
      <c r="B37" s="26" t="s">
        <v>7</v>
      </c>
      <c r="C37" s="26">
        <v>7400074161</v>
      </c>
      <c r="D37" s="27" t="s">
        <v>77</v>
      </c>
      <c r="E37" s="26"/>
      <c r="F37" s="26">
        <v>12</v>
      </c>
      <c r="G37" s="26">
        <v>12</v>
      </c>
      <c r="H37" s="26" t="s">
        <v>26</v>
      </c>
      <c r="I37" s="10"/>
      <c r="J37" s="26"/>
    </row>
    <row r="38" spans="1:10" x14ac:dyDescent="0.25">
      <c r="A38" s="87" t="s">
        <v>49</v>
      </c>
      <c r="B38" s="10"/>
      <c r="C38" s="10"/>
      <c r="D38" s="11" t="s">
        <v>87</v>
      </c>
      <c r="E38" s="10">
        <v>20</v>
      </c>
      <c r="F38" s="10">
        <f>E38*$F$37/1000</f>
        <v>0.24</v>
      </c>
      <c r="G38" s="10">
        <f>E38*$G$37/1000</f>
        <v>0.24</v>
      </c>
      <c r="H38" s="10" t="s">
        <v>13</v>
      </c>
      <c r="I38" s="10"/>
      <c r="J38" s="10"/>
    </row>
    <row r="39" spans="1:10" x14ac:dyDescent="0.25">
      <c r="A39" s="87" t="s">
        <v>49</v>
      </c>
      <c r="B39" s="10"/>
      <c r="C39" s="10"/>
      <c r="D39" s="11" t="s">
        <v>88</v>
      </c>
      <c r="E39" s="10">
        <v>1</v>
      </c>
      <c r="F39" s="10">
        <f>F37*$E$39</f>
        <v>12</v>
      </c>
      <c r="G39" s="10">
        <f>E39*$G$37</f>
        <v>12</v>
      </c>
      <c r="H39" s="10" t="s">
        <v>84</v>
      </c>
      <c r="I39" s="10"/>
      <c r="J39" s="10"/>
    </row>
    <row r="40" spans="1:10" s="28" customFormat="1" x14ac:dyDescent="0.25">
      <c r="A40" s="87" t="s">
        <v>49</v>
      </c>
      <c r="B40" s="26" t="s">
        <v>7</v>
      </c>
      <c r="C40" s="26">
        <v>7400074167</v>
      </c>
      <c r="D40" s="27" t="s">
        <v>85</v>
      </c>
      <c r="E40" s="26"/>
      <c r="F40" s="26">
        <v>12</v>
      </c>
      <c r="G40" s="26">
        <v>12</v>
      </c>
      <c r="H40" s="26" t="s">
        <v>26</v>
      </c>
      <c r="I40" s="10"/>
      <c r="J40" s="26"/>
    </row>
    <row r="41" spans="1:10" s="28" customFormat="1" x14ac:dyDescent="0.25">
      <c r="A41" s="87" t="s">
        <v>49</v>
      </c>
      <c r="B41" s="26"/>
      <c r="C41" s="10">
        <v>2300023256</v>
      </c>
      <c r="D41" s="11" t="s">
        <v>152</v>
      </c>
      <c r="E41" s="10">
        <v>2</v>
      </c>
      <c r="F41" s="10">
        <f>E41*$F$40</f>
        <v>24</v>
      </c>
      <c r="G41" s="10">
        <f>E41*$G$40</f>
        <v>24</v>
      </c>
      <c r="H41" s="10" t="s">
        <v>84</v>
      </c>
      <c r="I41" s="10"/>
      <c r="J41" s="26"/>
    </row>
    <row r="42" spans="1:10" s="28" customFormat="1" x14ac:dyDescent="0.25">
      <c r="A42" s="87" t="s">
        <v>49</v>
      </c>
      <c r="B42" s="26"/>
      <c r="C42" s="10">
        <v>2000020263</v>
      </c>
      <c r="D42" s="11" t="s">
        <v>402</v>
      </c>
      <c r="E42" s="10">
        <v>10</v>
      </c>
      <c r="F42" s="10">
        <f>E42*$F$40/1000</f>
        <v>0.12</v>
      </c>
      <c r="G42" s="10">
        <f>E42*$G$40/1000</f>
        <v>0.12</v>
      </c>
      <c r="H42" s="10" t="s">
        <v>13</v>
      </c>
      <c r="I42" s="10"/>
      <c r="J42" s="26"/>
    </row>
    <row r="43" spans="1:10" x14ac:dyDescent="0.25">
      <c r="A43" s="87" t="s">
        <v>49</v>
      </c>
      <c r="B43" s="10"/>
      <c r="C43" s="10">
        <v>2000020034</v>
      </c>
      <c r="D43" s="11" t="s">
        <v>466</v>
      </c>
      <c r="E43" s="10">
        <v>1</v>
      </c>
      <c r="F43" s="10">
        <f>E43*$F$40/1000</f>
        <v>1.2E-2</v>
      </c>
      <c r="G43" s="10">
        <f>E43*$G$40/1000</f>
        <v>1.2E-2</v>
      </c>
      <c r="H43" s="10" t="s">
        <v>13</v>
      </c>
      <c r="I43" s="10"/>
      <c r="J43" s="10"/>
    </row>
    <row r="44" spans="1:10" x14ac:dyDescent="0.25">
      <c r="A44" s="87" t="s">
        <v>36</v>
      </c>
      <c r="B44" s="26" t="s">
        <v>12</v>
      </c>
      <c r="C44" s="26">
        <v>3900042453</v>
      </c>
      <c r="D44" s="27" t="s">
        <v>622</v>
      </c>
      <c r="E44" s="26"/>
      <c r="F44" s="26">
        <v>37</v>
      </c>
      <c r="G44" s="26">
        <v>39</v>
      </c>
      <c r="H44" s="26" t="s">
        <v>26</v>
      </c>
      <c r="I44" s="10"/>
      <c r="J44" s="10"/>
    </row>
    <row r="45" spans="1:10" x14ac:dyDescent="0.25">
      <c r="A45" s="87" t="s">
        <v>36</v>
      </c>
      <c r="B45" s="10"/>
      <c r="C45" s="10">
        <v>3900042630</v>
      </c>
      <c r="D45" s="11" t="s">
        <v>623</v>
      </c>
      <c r="E45" s="10">
        <v>1</v>
      </c>
      <c r="F45" s="10">
        <f>E45*$F$44</f>
        <v>37</v>
      </c>
      <c r="G45" s="10">
        <f>E45*$G$44</f>
        <v>39</v>
      </c>
      <c r="H45" s="10" t="s">
        <v>84</v>
      </c>
      <c r="I45" s="10"/>
      <c r="J45" s="10"/>
    </row>
    <row r="46" spans="1:10" x14ac:dyDescent="0.25">
      <c r="A46" s="87" t="s">
        <v>36</v>
      </c>
      <c r="B46" s="10"/>
      <c r="C46" s="10">
        <v>3000132538</v>
      </c>
      <c r="D46" s="11" t="s">
        <v>624</v>
      </c>
      <c r="E46" s="10">
        <v>0.03</v>
      </c>
      <c r="F46" s="10">
        <f t="shared" ref="F46:F47" si="2">E46*$F$44</f>
        <v>1.1099999999999999</v>
      </c>
      <c r="G46" s="10">
        <f t="shared" ref="G46:G47" si="3">E46*$G$44</f>
        <v>1.17</v>
      </c>
      <c r="H46" s="10" t="s">
        <v>13</v>
      </c>
      <c r="I46" s="10"/>
      <c r="J46" s="10"/>
    </row>
    <row r="47" spans="1:10" x14ac:dyDescent="0.25">
      <c r="A47" s="87" t="s">
        <v>36</v>
      </c>
      <c r="B47" s="10"/>
      <c r="C47" s="10">
        <v>3600036328</v>
      </c>
      <c r="D47" s="11" t="s">
        <v>625</v>
      </c>
      <c r="E47" s="10">
        <v>0.03</v>
      </c>
      <c r="F47" s="10">
        <f t="shared" si="2"/>
        <v>1.1099999999999999</v>
      </c>
      <c r="G47" s="10">
        <f t="shared" si="3"/>
        <v>1.17</v>
      </c>
      <c r="H47" s="10" t="s">
        <v>13</v>
      </c>
      <c r="I47" s="10"/>
      <c r="J47" s="10"/>
    </row>
    <row r="48" spans="1:10" x14ac:dyDescent="0.25">
      <c r="A48" s="87" t="s">
        <v>36</v>
      </c>
      <c r="B48" s="26" t="s">
        <v>7</v>
      </c>
      <c r="C48" s="26">
        <v>3900042539</v>
      </c>
      <c r="D48" s="27" t="s">
        <v>626</v>
      </c>
      <c r="E48" s="10"/>
      <c r="F48" s="26">
        <v>208</v>
      </c>
      <c r="G48" s="26">
        <v>260</v>
      </c>
      <c r="H48" s="26" t="s">
        <v>84</v>
      </c>
      <c r="I48" s="10"/>
      <c r="J48" s="10"/>
    </row>
    <row r="49" spans="1:10" x14ac:dyDescent="0.25">
      <c r="A49" s="87" t="s">
        <v>36</v>
      </c>
      <c r="B49" s="10"/>
      <c r="C49" s="10">
        <v>2300023256</v>
      </c>
      <c r="D49" s="11" t="s">
        <v>152</v>
      </c>
      <c r="E49" s="10">
        <v>2</v>
      </c>
      <c r="F49" s="10">
        <f>E49*$F$48</f>
        <v>416</v>
      </c>
      <c r="G49" s="10">
        <f>E49*$G$48</f>
        <v>520</v>
      </c>
      <c r="H49" s="10" t="s">
        <v>84</v>
      </c>
      <c r="I49" s="10"/>
      <c r="J49" s="10"/>
    </row>
    <row r="50" spans="1:10" x14ac:dyDescent="0.25">
      <c r="A50" s="87" t="s">
        <v>36</v>
      </c>
      <c r="B50" s="10"/>
      <c r="C50" s="10">
        <v>2200022159</v>
      </c>
      <c r="D50" s="11" t="s">
        <v>478</v>
      </c>
      <c r="E50" s="10">
        <v>20</v>
      </c>
      <c r="F50" s="10">
        <f>E50*$F$48/1000</f>
        <v>4.16</v>
      </c>
      <c r="G50" s="10">
        <f>E50*$G$48/1000</f>
        <v>5.2</v>
      </c>
      <c r="H50" s="10" t="s">
        <v>13</v>
      </c>
      <c r="I50" s="10"/>
      <c r="J50" s="10"/>
    </row>
    <row r="51" spans="1:10" x14ac:dyDescent="0.25">
      <c r="A51" s="87" t="s">
        <v>36</v>
      </c>
      <c r="B51" s="10"/>
      <c r="C51" s="10">
        <v>2000020632</v>
      </c>
      <c r="D51" s="11" t="s">
        <v>58</v>
      </c>
      <c r="E51" s="10">
        <v>2</v>
      </c>
      <c r="F51" s="10">
        <f>E51*$F$48</f>
        <v>416</v>
      </c>
      <c r="G51" s="10">
        <f>E51*$G$48</f>
        <v>520</v>
      </c>
      <c r="H51" s="10" t="s">
        <v>84</v>
      </c>
      <c r="I51" s="10"/>
      <c r="J51" s="10"/>
    </row>
    <row r="52" spans="1:10" x14ac:dyDescent="0.25">
      <c r="A52" s="87" t="s">
        <v>36</v>
      </c>
      <c r="B52" s="26" t="s">
        <v>7</v>
      </c>
      <c r="C52" s="26">
        <v>3900042862</v>
      </c>
      <c r="D52" s="27" t="s">
        <v>627</v>
      </c>
      <c r="E52" s="10"/>
      <c r="F52" s="26">
        <v>10</v>
      </c>
      <c r="G52" s="26">
        <v>12</v>
      </c>
      <c r="H52" s="26" t="s">
        <v>84</v>
      </c>
      <c r="I52" s="10"/>
      <c r="J52" s="10"/>
    </row>
    <row r="53" spans="1:10" s="28" customFormat="1" x14ac:dyDescent="0.25">
      <c r="A53" s="87" t="s">
        <v>36</v>
      </c>
      <c r="B53" s="10"/>
      <c r="C53" s="10">
        <v>2300023256</v>
      </c>
      <c r="D53" s="11" t="s">
        <v>152</v>
      </c>
      <c r="E53" s="10">
        <v>6</v>
      </c>
      <c r="F53" s="10">
        <f>E53*$F$52</f>
        <v>60</v>
      </c>
      <c r="G53" s="10">
        <f>E53*$G$52</f>
        <v>72</v>
      </c>
      <c r="H53" s="10" t="s">
        <v>84</v>
      </c>
      <c r="I53" s="26"/>
      <c r="J53" s="26"/>
    </row>
    <row r="54" spans="1:10" s="28" customFormat="1" x14ac:dyDescent="0.25">
      <c r="A54" s="87" t="s">
        <v>36</v>
      </c>
      <c r="B54" s="10"/>
      <c r="C54" s="10">
        <v>2200022159</v>
      </c>
      <c r="D54" s="11" t="s">
        <v>478</v>
      </c>
      <c r="E54" s="10">
        <v>20</v>
      </c>
      <c r="F54" s="10">
        <f>E54*$F$52/1000</f>
        <v>0.2</v>
      </c>
      <c r="G54" s="10">
        <f>E54*$G$52/1000</f>
        <v>0.24</v>
      </c>
      <c r="H54" s="10" t="s">
        <v>13</v>
      </c>
      <c r="I54" s="26"/>
      <c r="J54" s="26"/>
    </row>
    <row r="55" spans="1:10" s="28" customFormat="1" x14ac:dyDescent="0.25">
      <c r="A55" s="87" t="s">
        <v>36</v>
      </c>
      <c r="B55" s="10"/>
      <c r="C55" s="10">
        <v>2000020632</v>
      </c>
      <c r="D55" s="11" t="s">
        <v>58</v>
      </c>
      <c r="E55" s="10">
        <v>4</v>
      </c>
      <c r="F55" s="10">
        <f>E55*$F$52</f>
        <v>40</v>
      </c>
      <c r="G55" s="10">
        <f>E55*$G$52</f>
        <v>48</v>
      </c>
      <c r="H55" s="10" t="s">
        <v>84</v>
      </c>
      <c r="I55" s="26"/>
      <c r="J55" s="26"/>
    </row>
    <row r="56" spans="1:10" s="28" customFormat="1" x14ac:dyDescent="0.25">
      <c r="A56" s="87" t="s">
        <v>37</v>
      </c>
      <c r="B56" s="26" t="s">
        <v>7</v>
      </c>
      <c r="C56" s="26">
        <v>3000133034</v>
      </c>
      <c r="D56" s="27" t="s">
        <v>638</v>
      </c>
      <c r="E56" s="10"/>
      <c r="F56" s="26">
        <v>16</v>
      </c>
      <c r="G56" s="26">
        <v>16</v>
      </c>
      <c r="H56" s="26" t="s">
        <v>84</v>
      </c>
      <c r="I56" s="26"/>
      <c r="J56" s="26"/>
    </row>
    <row r="57" spans="1:10" s="28" customFormat="1" x14ac:dyDescent="0.25">
      <c r="A57" s="87" t="s">
        <v>37</v>
      </c>
      <c r="B57" s="10"/>
      <c r="C57" s="10">
        <v>2100021489</v>
      </c>
      <c r="D57" s="11" t="s">
        <v>53</v>
      </c>
      <c r="E57" s="10">
        <v>40</v>
      </c>
      <c r="F57" s="10">
        <f>E57*$F$56/1000</f>
        <v>0.64</v>
      </c>
      <c r="G57" s="10">
        <f>E57*$G$56/1000</f>
        <v>0.64</v>
      </c>
      <c r="H57" s="10" t="s">
        <v>13</v>
      </c>
      <c r="I57" s="26"/>
      <c r="J57" s="26"/>
    </row>
    <row r="58" spans="1:10" s="28" customFormat="1" x14ac:dyDescent="0.25">
      <c r="A58" s="87" t="s">
        <v>37</v>
      </c>
      <c r="B58" s="10"/>
      <c r="C58" s="10">
        <v>2000020263</v>
      </c>
      <c r="D58" s="11" t="s">
        <v>402</v>
      </c>
      <c r="E58" s="10">
        <v>20</v>
      </c>
      <c r="F58" s="10">
        <f t="shared" ref="F58:F59" si="4">E58*$F$56/1000</f>
        <v>0.32</v>
      </c>
      <c r="G58" s="10">
        <f t="shared" ref="G58:G59" si="5">E58*$G$56/1000</f>
        <v>0.32</v>
      </c>
      <c r="H58" s="10" t="s">
        <v>13</v>
      </c>
      <c r="I58" s="26"/>
      <c r="J58" s="26"/>
    </row>
    <row r="59" spans="1:10" s="28" customFormat="1" x14ac:dyDescent="0.25">
      <c r="A59" s="87" t="s">
        <v>37</v>
      </c>
      <c r="B59" s="10"/>
      <c r="C59" s="10">
        <v>2000020454</v>
      </c>
      <c r="D59" s="11" t="s">
        <v>100</v>
      </c>
      <c r="E59" s="10">
        <v>50</v>
      </c>
      <c r="F59" s="10">
        <f t="shared" si="4"/>
        <v>0.8</v>
      </c>
      <c r="G59" s="10">
        <f t="shared" si="5"/>
        <v>0.8</v>
      </c>
      <c r="H59" s="10" t="s">
        <v>13</v>
      </c>
      <c r="I59" s="26"/>
      <c r="J59" s="26"/>
    </row>
    <row r="60" spans="1:10" s="28" customFormat="1" x14ac:dyDescent="0.25">
      <c r="A60" s="87" t="s">
        <v>37</v>
      </c>
      <c r="B60" s="26" t="s">
        <v>7</v>
      </c>
      <c r="C60" s="26">
        <v>3900042483</v>
      </c>
      <c r="D60" s="27" t="s">
        <v>628</v>
      </c>
      <c r="E60" s="26"/>
      <c r="F60" s="26">
        <v>9</v>
      </c>
      <c r="G60" s="26">
        <v>9</v>
      </c>
      <c r="H60" s="26" t="s">
        <v>84</v>
      </c>
      <c r="I60" s="26"/>
      <c r="J60" s="26"/>
    </row>
    <row r="61" spans="1:10" s="28" customFormat="1" x14ac:dyDescent="0.25">
      <c r="A61" s="87" t="s">
        <v>37</v>
      </c>
      <c r="B61" s="26"/>
      <c r="C61" s="10">
        <v>2300023256</v>
      </c>
      <c r="D61" s="11" t="s">
        <v>152</v>
      </c>
      <c r="E61" s="10">
        <v>5</v>
      </c>
      <c r="F61" s="10">
        <f>E61*$F$60</f>
        <v>45</v>
      </c>
      <c r="G61" s="10">
        <f>E61*$G$60</f>
        <v>45</v>
      </c>
      <c r="H61" s="10" t="s">
        <v>84</v>
      </c>
      <c r="I61" s="26"/>
      <c r="J61" s="26"/>
    </row>
    <row r="62" spans="1:10" s="28" customFormat="1" x14ac:dyDescent="0.25">
      <c r="A62" s="87" t="s">
        <v>37</v>
      </c>
      <c r="B62" s="26"/>
      <c r="C62" s="10">
        <v>2300023661</v>
      </c>
      <c r="D62" s="11" t="s">
        <v>629</v>
      </c>
      <c r="E62" s="10">
        <v>10</v>
      </c>
      <c r="F62" s="10">
        <f t="shared" ref="F62:F63" si="6">E62*$F$60/1000</f>
        <v>0.09</v>
      </c>
      <c r="G62" s="10">
        <f t="shared" ref="G62:G63" si="7">E62*$G$60/1000</f>
        <v>0.09</v>
      </c>
      <c r="H62" s="10" t="s">
        <v>13</v>
      </c>
      <c r="I62" s="26"/>
      <c r="J62" s="26"/>
    </row>
    <row r="63" spans="1:10" s="28" customFormat="1" x14ac:dyDescent="0.25">
      <c r="A63" s="87" t="s">
        <v>37</v>
      </c>
      <c r="B63" s="26"/>
      <c r="C63" s="10">
        <v>2400024571</v>
      </c>
      <c r="D63" s="11" t="s">
        <v>630</v>
      </c>
      <c r="E63" s="10">
        <v>10</v>
      </c>
      <c r="F63" s="10">
        <f t="shared" si="6"/>
        <v>0.09</v>
      </c>
      <c r="G63" s="10">
        <f t="shared" si="7"/>
        <v>0.09</v>
      </c>
      <c r="H63" s="10" t="s">
        <v>13</v>
      </c>
      <c r="I63" s="26"/>
      <c r="J63" s="26"/>
    </row>
    <row r="64" spans="1:10" x14ac:dyDescent="0.25">
      <c r="A64" s="87" t="s">
        <v>37</v>
      </c>
      <c r="B64" s="26" t="s">
        <v>7</v>
      </c>
      <c r="C64" s="26">
        <v>3900043040</v>
      </c>
      <c r="D64" s="32" t="s">
        <v>631</v>
      </c>
      <c r="E64" s="10"/>
      <c r="F64" s="26">
        <v>15</v>
      </c>
      <c r="G64" s="26">
        <v>15</v>
      </c>
      <c r="H64" s="26" t="s">
        <v>84</v>
      </c>
      <c r="I64" s="10"/>
      <c r="J64" s="10"/>
    </row>
    <row r="65" spans="1:10" x14ac:dyDescent="0.25">
      <c r="A65" s="87" t="s">
        <v>37</v>
      </c>
      <c r="B65" s="26"/>
      <c r="C65" s="10">
        <v>2300023256</v>
      </c>
      <c r="D65" s="31" t="s">
        <v>152</v>
      </c>
      <c r="E65" s="10">
        <v>5</v>
      </c>
      <c r="F65" s="10">
        <f>E65*$F$64</f>
        <v>75</v>
      </c>
      <c r="G65" s="10">
        <f>E65*$G$64</f>
        <v>75</v>
      </c>
      <c r="H65" s="10" t="s">
        <v>84</v>
      </c>
      <c r="I65" s="10"/>
      <c r="J65" s="10"/>
    </row>
    <row r="66" spans="1:10" x14ac:dyDescent="0.25">
      <c r="A66" s="87" t="s">
        <v>37</v>
      </c>
      <c r="B66" s="26"/>
      <c r="C66" s="10">
        <v>2300023661</v>
      </c>
      <c r="D66" s="31" t="s">
        <v>629</v>
      </c>
      <c r="E66" s="10">
        <v>10</v>
      </c>
      <c r="F66" s="10">
        <f>E66*$F$64/1000</f>
        <v>0.15</v>
      </c>
      <c r="G66" s="10">
        <f>E66*$G$64/1000</f>
        <v>0.15</v>
      </c>
      <c r="H66" s="10" t="s">
        <v>13</v>
      </c>
      <c r="I66" s="10"/>
      <c r="J66" s="10"/>
    </row>
    <row r="67" spans="1:10" x14ac:dyDescent="0.25">
      <c r="A67" s="87" t="s">
        <v>37</v>
      </c>
      <c r="B67" s="26"/>
      <c r="C67" s="10">
        <v>2400024571</v>
      </c>
      <c r="D67" s="31" t="s">
        <v>630</v>
      </c>
      <c r="E67" s="10">
        <v>10</v>
      </c>
      <c r="F67" s="10">
        <f>E67*$F$64/1000</f>
        <v>0.15</v>
      </c>
      <c r="G67" s="10">
        <f>E67*$G$64/1000</f>
        <v>0.15</v>
      </c>
      <c r="H67" s="10" t="s">
        <v>127</v>
      </c>
      <c r="I67" s="10"/>
      <c r="J67" s="10"/>
    </row>
    <row r="68" spans="1:10" x14ac:dyDescent="0.25">
      <c r="A68" s="87" t="s">
        <v>37</v>
      </c>
      <c r="B68" s="26" t="s">
        <v>7</v>
      </c>
      <c r="C68" s="26">
        <v>3900040152</v>
      </c>
      <c r="D68" s="32" t="s">
        <v>632</v>
      </c>
      <c r="E68" s="26"/>
      <c r="F68" s="26">
        <v>1</v>
      </c>
      <c r="G68" s="26">
        <v>1</v>
      </c>
      <c r="H68" s="26" t="s">
        <v>84</v>
      </c>
      <c r="I68" s="10"/>
      <c r="J68" s="10"/>
    </row>
    <row r="69" spans="1:10" x14ac:dyDescent="0.25">
      <c r="A69" s="87" t="s">
        <v>37</v>
      </c>
      <c r="B69" s="26"/>
      <c r="C69" s="10">
        <v>2200022159</v>
      </c>
      <c r="D69" s="31" t="s">
        <v>478</v>
      </c>
      <c r="E69" s="10">
        <v>10</v>
      </c>
      <c r="F69" s="10">
        <f>E69*$F$68/1000</f>
        <v>0.01</v>
      </c>
      <c r="G69" s="10">
        <f>E69*$G$68/1000</f>
        <v>0.01</v>
      </c>
      <c r="H69" s="10" t="s">
        <v>127</v>
      </c>
      <c r="I69" s="10"/>
      <c r="J69" s="10"/>
    </row>
    <row r="70" spans="1:10" x14ac:dyDescent="0.25">
      <c r="A70" s="87" t="s">
        <v>37</v>
      </c>
      <c r="B70" s="26"/>
      <c r="C70" s="10">
        <v>3200032234</v>
      </c>
      <c r="D70" s="31" t="s">
        <v>633</v>
      </c>
      <c r="E70" s="10">
        <v>1</v>
      </c>
      <c r="F70" s="10">
        <f>E70*$F$68</f>
        <v>1</v>
      </c>
      <c r="G70" s="10">
        <f>E70*$G$68</f>
        <v>1</v>
      </c>
      <c r="H70" s="10" t="s">
        <v>84</v>
      </c>
      <c r="I70" s="10"/>
      <c r="J70" s="10"/>
    </row>
    <row r="71" spans="1:10" x14ac:dyDescent="0.25">
      <c r="A71" s="87" t="s">
        <v>37</v>
      </c>
      <c r="B71" s="26"/>
      <c r="C71" s="10">
        <v>2300023773</v>
      </c>
      <c r="D71" s="31" t="s">
        <v>634</v>
      </c>
      <c r="E71" s="10">
        <v>30</v>
      </c>
      <c r="F71" s="10">
        <f>E71*$F$68/1000</f>
        <v>0.03</v>
      </c>
      <c r="G71" s="10">
        <f>E71*$G$68/1000</f>
        <v>0.03</v>
      </c>
      <c r="H71" s="10" t="s">
        <v>13</v>
      </c>
      <c r="I71" s="10"/>
      <c r="J71" s="10"/>
    </row>
    <row r="72" spans="1:10" x14ac:dyDescent="0.25">
      <c r="A72" s="87" t="s">
        <v>37</v>
      </c>
      <c r="B72" s="26"/>
      <c r="C72" s="10">
        <v>2000020636</v>
      </c>
      <c r="D72" s="31" t="s">
        <v>98</v>
      </c>
      <c r="E72" s="10">
        <v>1</v>
      </c>
      <c r="F72" s="10">
        <f t="shared" ref="F72" si="8">E72*$F$68</f>
        <v>1</v>
      </c>
      <c r="G72" s="10">
        <f t="shared" ref="G72" si="9">E72*$G$68</f>
        <v>1</v>
      </c>
      <c r="H72" s="10" t="s">
        <v>84</v>
      </c>
      <c r="I72" s="10"/>
      <c r="J72" s="10"/>
    </row>
    <row r="73" spans="1:10" x14ac:dyDescent="0.25">
      <c r="A73" s="87" t="s">
        <v>37</v>
      </c>
      <c r="B73" s="26" t="s">
        <v>7</v>
      </c>
      <c r="C73" s="26">
        <v>3000131021</v>
      </c>
      <c r="D73" s="32" t="s">
        <v>635</v>
      </c>
      <c r="E73" s="10"/>
      <c r="F73" s="26">
        <v>2</v>
      </c>
      <c r="G73" s="26">
        <v>2</v>
      </c>
      <c r="H73" s="26" t="s">
        <v>84</v>
      </c>
      <c r="I73" s="10"/>
      <c r="J73" s="10"/>
    </row>
    <row r="74" spans="1:10" x14ac:dyDescent="0.25">
      <c r="A74" s="87" t="s">
        <v>37</v>
      </c>
      <c r="B74" s="26"/>
      <c r="C74" s="10">
        <v>2000121202</v>
      </c>
      <c r="D74" s="31" t="s">
        <v>847</v>
      </c>
      <c r="E74" s="10">
        <v>70</v>
      </c>
      <c r="F74" s="10">
        <f>E74*F73</f>
        <v>140</v>
      </c>
      <c r="G74" s="10">
        <f>E74*$G$73/1000</f>
        <v>0.14000000000000001</v>
      </c>
      <c r="H74" s="10" t="s">
        <v>13</v>
      </c>
      <c r="I74" s="10"/>
      <c r="J74" s="10"/>
    </row>
    <row r="75" spans="1:10" x14ac:dyDescent="0.25">
      <c r="A75" s="87" t="s">
        <v>37</v>
      </c>
      <c r="B75" s="26"/>
      <c r="C75" s="10">
        <v>2200022159</v>
      </c>
      <c r="D75" s="31" t="s">
        <v>478</v>
      </c>
      <c r="E75" s="10">
        <v>10</v>
      </c>
      <c r="F75" s="10">
        <f>E75*F73</f>
        <v>20</v>
      </c>
      <c r="G75" s="10">
        <f>E75*$G$73/1000</f>
        <v>0.02</v>
      </c>
      <c r="H75" s="10" t="s">
        <v>13</v>
      </c>
      <c r="I75" s="10"/>
      <c r="J75" s="10"/>
    </row>
    <row r="76" spans="1:10" x14ac:dyDescent="0.25">
      <c r="A76" s="87" t="s">
        <v>37</v>
      </c>
      <c r="B76" s="26" t="s">
        <v>7</v>
      </c>
      <c r="C76" s="26">
        <v>3000131353</v>
      </c>
      <c r="D76" s="32" t="s">
        <v>636</v>
      </c>
      <c r="E76" s="10"/>
      <c r="F76" s="26">
        <v>2</v>
      </c>
      <c r="G76" s="26">
        <v>2</v>
      </c>
      <c r="H76" s="26" t="s">
        <v>84</v>
      </c>
      <c r="I76" s="10"/>
      <c r="J76" s="10"/>
    </row>
    <row r="77" spans="1:10" x14ac:dyDescent="0.25">
      <c r="A77" s="87" t="s">
        <v>37</v>
      </c>
      <c r="B77" s="26"/>
      <c r="C77" s="10">
        <v>3000131352</v>
      </c>
      <c r="D77" s="31" t="s">
        <v>637</v>
      </c>
      <c r="E77" s="10">
        <v>90</v>
      </c>
      <c r="F77" s="10">
        <f>E77*$F$76/1000</f>
        <v>0.18</v>
      </c>
      <c r="G77" s="10">
        <f>E77*$G$76/1000</f>
        <v>0.18</v>
      </c>
      <c r="H77" s="10" t="s">
        <v>13</v>
      </c>
      <c r="I77" s="10"/>
      <c r="J77" s="10"/>
    </row>
    <row r="78" spans="1:10" x14ac:dyDescent="0.25">
      <c r="A78" s="87" t="s">
        <v>37</v>
      </c>
      <c r="B78" s="26" t="s">
        <v>7</v>
      </c>
      <c r="C78" s="26">
        <v>3000131437</v>
      </c>
      <c r="D78" s="32" t="s">
        <v>332</v>
      </c>
      <c r="E78" s="10"/>
      <c r="F78" s="26">
        <v>4</v>
      </c>
      <c r="G78" s="26">
        <v>4</v>
      </c>
      <c r="H78" s="26" t="s">
        <v>84</v>
      </c>
      <c r="I78" s="10"/>
      <c r="J78" s="10"/>
    </row>
    <row r="79" spans="1:10" x14ac:dyDescent="0.25">
      <c r="A79" s="87" t="s">
        <v>37</v>
      </c>
      <c r="B79" s="26"/>
      <c r="C79" s="10">
        <v>2000020005</v>
      </c>
      <c r="D79" s="31" t="s">
        <v>328</v>
      </c>
      <c r="E79" s="10">
        <v>30</v>
      </c>
      <c r="F79" s="10">
        <f>E79*$F$78/1000</f>
        <v>0.12</v>
      </c>
      <c r="G79" s="10">
        <f>E79*$G$78/1000</f>
        <v>0.12</v>
      </c>
      <c r="H79" s="10" t="s">
        <v>13</v>
      </c>
      <c r="I79" s="10"/>
      <c r="J79" s="10"/>
    </row>
    <row r="80" spans="1:10" x14ac:dyDescent="0.25">
      <c r="A80" s="87" t="s">
        <v>37</v>
      </c>
      <c r="B80" s="26"/>
      <c r="C80" s="10">
        <v>2000020812</v>
      </c>
      <c r="D80" s="31" t="s">
        <v>114</v>
      </c>
      <c r="E80" s="10">
        <v>20</v>
      </c>
      <c r="F80" s="10">
        <f>E80*$F$78/1000</f>
        <v>0.08</v>
      </c>
      <c r="G80" s="10">
        <f>E80*$G$78/1000</f>
        <v>0.08</v>
      </c>
      <c r="H80" s="10" t="s">
        <v>13</v>
      </c>
      <c r="I80" s="10"/>
      <c r="J80" s="10"/>
    </row>
    <row r="81" spans="1:19" x14ac:dyDescent="0.25">
      <c r="A81" s="87" t="s">
        <v>37</v>
      </c>
      <c r="B81" s="26"/>
      <c r="C81" s="10">
        <v>2000020454</v>
      </c>
      <c r="D81" s="31" t="s">
        <v>100</v>
      </c>
      <c r="E81" s="10">
        <v>30</v>
      </c>
      <c r="F81" s="10">
        <f>E81*$F$78/1000</f>
        <v>0.12</v>
      </c>
      <c r="G81" s="10">
        <f>E81*$G$78/1000</f>
        <v>0.12</v>
      </c>
      <c r="H81" s="10" t="s">
        <v>13</v>
      </c>
      <c r="I81" s="10"/>
      <c r="J81" s="10"/>
    </row>
    <row r="82" spans="1:19" x14ac:dyDescent="0.25">
      <c r="A82" s="87" t="s">
        <v>37</v>
      </c>
      <c r="B82" s="26"/>
      <c r="C82" s="10">
        <v>2200022264</v>
      </c>
      <c r="D82" s="31" t="s">
        <v>101</v>
      </c>
      <c r="E82" s="10">
        <v>20</v>
      </c>
      <c r="F82" s="10">
        <f>E82*$F$78</f>
        <v>80</v>
      </c>
      <c r="G82" s="10">
        <f>E82*$G$78/1000</f>
        <v>0.08</v>
      </c>
      <c r="H82" s="10" t="s">
        <v>13</v>
      </c>
      <c r="I82" s="10"/>
      <c r="J82" s="10"/>
    </row>
    <row r="83" spans="1:19" x14ac:dyDescent="0.25">
      <c r="A83" s="87" t="s">
        <v>37</v>
      </c>
      <c r="B83" s="26"/>
      <c r="C83" s="10">
        <v>2000020636</v>
      </c>
      <c r="D83" s="31" t="s">
        <v>98</v>
      </c>
      <c r="E83" s="10">
        <v>1</v>
      </c>
      <c r="F83" s="10">
        <f>E83*$F$78</f>
        <v>4</v>
      </c>
      <c r="G83" s="10">
        <f>E83*$G$78</f>
        <v>4</v>
      </c>
      <c r="H83" s="10" t="s">
        <v>84</v>
      </c>
      <c r="I83" s="10"/>
      <c r="J83" s="10"/>
    </row>
    <row r="84" spans="1:19" x14ac:dyDescent="0.25">
      <c r="A84" s="88" t="s">
        <v>3</v>
      </c>
      <c r="B84" s="51" t="s">
        <v>7</v>
      </c>
      <c r="C84" s="51">
        <v>3000133110</v>
      </c>
      <c r="D84" s="52" t="s">
        <v>405</v>
      </c>
      <c r="E84" s="53"/>
      <c r="F84" s="51">
        <v>27</v>
      </c>
      <c r="G84" s="51">
        <v>30</v>
      </c>
      <c r="H84" s="39" t="s">
        <v>14</v>
      </c>
      <c r="I84" s="47"/>
      <c r="J84" s="47"/>
      <c r="S84" s="29" t="s">
        <v>851</v>
      </c>
    </row>
    <row r="85" spans="1:19" x14ac:dyDescent="0.25">
      <c r="A85" s="87" t="s">
        <v>3</v>
      </c>
      <c r="B85" s="12"/>
      <c r="C85" s="12">
        <v>2000020596</v>
      </c>
      <c r="D85" s="34" t="s">
        <v>407</v>
      </c>
      <c r="E85" s="12">
        <v>20</v>
      </c>
      <c r="F85" s="12">
        <f>E85*$F$84/1000</f>
        <v>0.54</v>
      </c>
      <c r="G85" s="12">
        <f>E85*$G$84/1000</f>
        <v>0.6</v>
      </c>
      <c r="H85" s="10" t="s">
        <v>13</v>
      </c>
      <c r="I85" s="10"/>
      <c r="J85" s="10"/>
    </row>
    <row r="86" spans="1:19" x14ac:dyDescent="0.25">
      <c r="A86" s="87" t="s">
        <v>3</v>
      </c>
      <c r="B86" s="30"/>
      <c r="C86" s="12">
        <v>2300023947</v>
      </c>
      <c r="D86" s="34" t="s">
        <v>104</v>
      </c>
      <c r="E86" s="12">
        <v>4</v>
      </c>
      <c r="F86" s="12">
        <f>E86*$F$84</f>
        <v>108</v>
      </c>
      <c r="G86" s="12">
        <f>E86*$G$84</f>
        <v>120</v>
      </c>
      <c r="H86" s="12" t="s">
        <v>84</v>
      </c>
      <c r="I86" s="10"/>
      <c r="J86" s="10"/>
    </row>
    <row r="87" spans="1:19" x14ac:dyDescent="0.25">
      <c r="A87" s="87" t="s">
        <v>3</v>
      </c>
      <c r="B87" s="12"/>
      <c r="C87" s="12">
        <v>2000020454</v>
      </c>
      <c r="D87" s="34" t="s">
        <v>100</v>
      </c>
      <c r="E87" s="12">
        <v>30</v>
      </c>
      <c r="F87" s="12">
        <f t="shared" ref="F87" si="10">E87*$F$84/1000</f>
        <v>0.81</v>
      </c>
      <c r="G87" s="12">
        <f>E87*$G$84/1000</f>
        <v>0.9</v>
      </c>
      <c r="H87" s="10" t="s">
        <v>13</v>
      </c>
      <c r="I87" s="10"/>
      <c r="J87" s="10"/>
    </row>
    <row r="88" spans="1:19" x14ac:dyDescent="0.25">
      <c r="A88" s="87" t="s">
        <v>3</v>
      </c>
      <c r="B88" s="51" t="s">
        <v>7</v>
      </c>
      <c r="C88" s="30">
        <v>3000133111</v>
      </c>
      <c r="D88" s="33" t="s">
        <v>406</v>
      </c>
      <c r="E88" s="12"/>
      <c r="F88" s="30">
        <v>12</v>
      </c>
      <c r="G88" s="30">
        <v>12</v>
      </c>
      <c r="H88" s="26" t="s">
        <v>84</v>
      </c>
      <c r="I88" s="10"/>
      <c r="J88" s="10"/>
    </row>
    <row r="89" spans="1:19" x14ac:dyDescent="0.25">
      <c r="A89" s="87" t="s">
        <v>3</v>
      </c>
      <c r="B89" s="12"/>
      <c r="C89" s="12">
        <v>2000020813</v>
      </c>
      <c r="D89" s="34" t="s">
        <v>279</v>
      </c>
      <c r="E89" s="12">
        <v>60</v>
      </c>
      <c r="F89" s="12">
        <f>E89*$F$88/1000</f>
        <v>0.72</v>
      </c>
      <c r="G89" s="12">
        <f>E89*$G$88/1000</f>
        <v>0.72</v>
      </c>
      <c r="H89" s="10" t="s">
        <v>13</v>
      </c>
      <c r="I89" s="10"/>
      <c r="J89" s="10"/>
    </row>
    <row r="90" spans="1:19" x14ac:dyDescent="0.25">
      <c r="A90" s="87" t="s">
        <v>3</v>
      </c>
      <c r="B90" s="30"/>
      <c r="C90" s="12">
        <v>2000020747</v>
      </c>
      <c r="D90" s="34" t="s">
        <v>408</v>
      </c>
      <c r="E90" s="12">
        <v>15</v>
      </c>
      <c r="F90" s="12">
        <f t="shared" ref="F90:F91" si="11">E90*$F$88/1000</f>
        <v>0.18</v>
      </c>
      <c r="G90" s="12">
        <f t="shared" ref="G90:G91" si="12">E90*$G$88/1000</f>
        <v>0.18</v>
      </c>
      <c r="H90" s="10" t="s">
        <v>13</v>
      </c>
      <c r="I90" s="10"/>
      <c r="J90" s="10"/>
    </row>
    <row r="91" spans="1:19" x14ac:dyDescent="0.25">
      <c r="A91" s="87" t="s">
        <v>3</v>
      </c>
      <c r="B91" s="12"/>
      <c r="C91" s="12">
        <v>2100021166</v>
      </c>
      <c r="D91" s="34" t="s">
        <v>409</v>
      </c>
      <c r="E91" s="12">
        <v>30</v>
      </c>
      <c r="F91" s="12">
        <f t="shared" si="11"/>
        <v>0.36</v>
      </c>
      <c r="G91" s="12">
        <f t="shared" si="12"/>
        <v>0.36</v>
      </c>
      <c r="H91" s="10" t="s">
        <v>13</v>
      </c>
      <c r="I91" s="10"/>
      <c r="J91" s="10"/>
    </row>
    <row r="92" spans="1:19" x14ac:dyDescent="0.25">
      <c r="A92" s="87" t="s">
        <v>3</v>
      </c>
      <c r="B92" s="51" t="s">
        <v>7</v>
      </c>
      <c r="C92" s="30">
        <v>3000131311</v>
      </c>
      <c r="D92" s="33" t="s">
        <v>410</v>
      </c>
      <c r="E92" s="30"/>
      <c r="F92" s="30">
        <v>1</v>
      </c>
      <c r="G92" s="30">
        <v>1</v>
      </c>
      <c r="H92" s="26" t="s">
        <v>84</v>
      </c>
      <c r="I92" s="10"/>
      <c r="J92" s="10"/>
    </row>
    <row r="93" spans="1:19" x14ac:dyDescent="0.25">
      <c r="A93" s="87" t="s">
        <v>3</v>
      </c>
      <c r="B93" s="12"/>
      <c r="C93" s="12">
        <v>2300023214</v>
      </c>
      <c r="D93" s="34" t="s">
        <v>102</v>
      </c>
      <c r="E93" s="12">
        <v>20</v>
      </c>
      <c r="F93" s="12">
        <f>E93*$F$92/1000</f>
        <v>0.02</v>
      </c>
      <c r="G93" s="12">
        <f>E93*$G$92/1000</f>
        <v>0.02</v>
      </c>
      <c r="H93" s="10" t="s">
        <v>13</v>
      </c>
      <c r="I93" s="10"/>
      <c r="J93" s="10"/>
    </row>
    <row r="94" spans="1:19" x14ac:dyDescent="0.25">
      <c r="A94" s="87" t="s">
        <v>3</v>
      </c>
      <c r="B94" s="12"/>
      <c r="C94" s="12">
        <v>2200022264</v>
      </c>
      <c r="D94" s="34" t="s">
        <v>101</v>
      </c>
      <c r="E94" s="12">
        <v>5</v>
      </c>
      <c r="F94" s="12">
        <f t="shared" ref="F94:F95" si="13">E94*$F$92/1000</f>
        <v>5.0000000000000001E-3</v>
      </c>
      <c r="G94" s="12">
        <f t="shared" ref="G94:G95" si="14">E94*$G$92/1000</f>
        <v>5.0000000000000001E-3</v>
      </c>
      <c r="H94" s="10" t="s">
        <v>13</v>
      </c>
      <c r="I94" s="10"/>
      <c r="J94" s="10"/>
    </row>
    <row r="95" spans="1:19" x14ac:dyDescent="0.25">
      <c r="A95" s="87" t="s">
        <v>3</v>
      </c>
      <c r="B95" s="12"/>
      <c r="C95" s="12">
        <v>2000020201</v>
      </c>
      <c r="D95" s="34" t="s">
        <v>413</v>
      </c>
      <c r="E95" s="12">
        <v>5</v>
      </c>
      <c r="F95" s="12">
        <f t="shared" si="13"/>
        <v>5.0000000000000001E-3</v>
      </c>
      <c r="G95" s="12">
        <f t="shared" si="14"/>
        <v>5.0000000000000001E-3</v>
      </c>
      <c r="H95" s="10" t="s">
        <v>13</v>
      </c>
      <c r="I95" s="10"/>
      <c r="J95" s="10"/>
    </row>
    <row r="96" spans="1:19" x14ac:dyDescent="0.25">
      <c r="A96" s="87" t="s">
        <v>3</v>
      </c>
      <c r="B96" s="12"/>
      <c r="C96" s="12">
        <v>2000020636</v>
      </c>
      <c r="D96" s="34" t="s">
        <v>98</v>
      </c>
      <c r="E96" s="12">
        <v>1</v>
      </c>
      <c r="F96" s="12">
        <f>E96*$F$92</f>
        <v>1</v>
      </c>
      <c r="G96" s="12">
        <f>E96*$G$92</f>
        <v>1</v>
      </c>
      <c r="H96" s="10" t="s">
        <v>84</v>
      </c>
      <c r="I96" s="10"/>
      <c r="J96" s="10"/>
    </row>
    <row r="97" spans="1:10" x14ac:dyDescent="0.25">
      <c r="A97" s="87" t="s">
        <v>3</v>
      </c>
      <c r="B97" s="51" t="s">
        <v>7</v>
      </c>
      <c r="C97" s="30">
        <v>3400034802</v>
      </c>
      <c r="D97" s="33" t="s">
        <v>640</v>
      </c>
      <c r="E97" s="12"/>
      <c r="F97" s="30">
        <v>0.25</v>
      </c>
      <c r="G97" s="30">
        <v>0.25</v>
      </c>
      <c r="H97" s="26" t="s">
        <v>84</v>
      </c>
      <c r="I97" s="10"/>
      <c r="J97" s="10"/>
    </row>
    <row r="98" spans="1:10" s="28" customFormat="1" x14ac:dyDescent="0.25">
      <c r="A98" s="87" t="s">
        <v>3</v>
      </c>
      <c r="B98" s="30"/>
      <c r="C98" s="12">
        <v>2000020754</v>
      </c>
      <c r="D98" s="34" t="s">
        <v>414</v>
      </c>
      <c r="E98" s="12">
        <v>20</v>
      </c>
      <c r="F98" s="12">
        <f>E98*$F$97/1000</f>
        <v>5.0000000000000001E-3</v>
      </c>
      <c r="G98" s="12">
        <f>E98*$G$97/1000</f>
        <v>5.0000000000000001E-3</v>
      </c>
      <c r="H98" s="10" t="s">
        <v>13</v>
      </c>
      <c r="I98" s="26"/>
      <c r="J98" s="26"/>
    </row>
    <row r="99" spans="1:10" x14ac:dyDescent="0.25">
      <c r="A99" s="87" t="s">
        <v>3</v>
      </c>
      <c r="B99" s="12"/>
      <c r="C99" s="12">
        <v>2100021488</v>
      </c>
      <c r="D99" s="34" t="s">
        <v>415</v>
      </c>
      <c r="E99" s="12">
        <v>3</v>
      </c>
      <c r="F99" s="12">
        <f>E99*$F$97</f>
        <v>0.75</v>
      </c>
      <c r="G99" s="12">
        <f>E99*$G$97</f>
        <v>0.75</v>
      </c>
      <c r="H99" s="10" t="s">
        <v>13</v>
      </c>
      <c r="I99" s="10"/>
      <c r="J99" s="10"/>
    </row>
    <row r="100" spans="1:10" x14ac:dyDescent="0.25">
      <c r="A100" s="87" t="s">
        <v>3</v>
      </c>
      <c r="B100" s="12"/>
      <c r="C100" s="12">
        <v>2300023380</v>
      </c>
      <c r="D100" s="34" t="s">
        <v>403</v>
      </c>
      <c r="E100" s="12">
        <v>30</v>
      </c>
      <c r="F100" s="12">
        <f t="shared" ref="F100:F101" si="15">E100*$F$97/1000</f>
        <v>7.4999999999999997E-3</v>
      </c>
      <c r="G100" s="12">
        <f t="shared" ref="G100:G101" si="16">E100*$G$97/1000</f>
        <v>7.4999999999999997E-3</v>
      </c>
      <c r="H100" s="10" t="s">
        <v>13</v>
      </c>
      <c r="I100" s="10"/>
      <c r="J100" s="10"/>
    </row>
    <row r="101" spans="1:10" x14ac:dyDescent="0.25">
      <c r="A101" s="87" t="s">
        <v>3</v>
      </c>
      <c r="B101" s="12"/>
      <c r="C101" s="12">
        <v>2000020051</v>
      </c>
      <c r="D101" s="34" t="s">
        <v>416</v>
      </c>
      <c r="E101" s="12">
        <v>2</v>
      </c>
      <c r="F101" s="12">
        <f t="shared" si="15"/>
        <v>5.0000000000000001E-4</v>
      </c>
      <c r="G101" s="12">
        <f t="shared" si="16"/>
        <v>5.0000000000000001E-4</v>
      </c>
      <c r="H101" s="10" t="s">
        <v>13</v>
      </c>
      <c r="I101" s="10"/>
      <c r="J101" s="10"/>
    </row>
    <row r="102" spans="1:10" x14ac:dyDescent="0.25">
      <c r="A102" s="87" t="s">
        <v>3</v>
      </c>
      <c r="B102" s="51"/>
      <c r="C102" s="26">
        <v>3000030239</v>
      </c>
      <c r="D102" s="33" t="s">
        <v>411</v>
      </c>
      <c r="E102" s="12"/>
      <c r="F102" s="30">
        <v>1</v>
      </c>
      <c r="G102" s="30">
        <v>1</v>
      </c>
      <c r="H102" s="26" t="s">
        <v>84</v>
      </c>
      <c r="I102" s="10"/>
      <c r="J102" s="10"/>
    </row>
    <row r="103" spans="1:10" x14ac:dyDescent="0.25">
      <c r="A103" s="87" t="s">
        <v>3</v>
      </c>
      <c r="B103" s="12"/>
      <c r="C103" s="12">
        <v>2000020598</v>
      </c>
      <c r="D103" s="34" t="s">
        <v>417</v>
      </c>
      <c r="E103" s="12">
        <v>20</v>
      </c>
      <c r="F103" s="12">
        <f>E103*$F$102/1000</f>
        <v>0.02</v>
      </c>
      <c r="G103" s="12">
        <f>E103*$G$102/1000</f>
        <v>0.02</v>
      </c>
      <c r="H103" s="10" t="s">
        <v>13</v>
      </c>
      <c r="I103" s="10"/>
      <c r="J103" s="10"/>
    </row>
    <row r="104" spans="1:10" x14ac:dyDescent="0.25">
      <c r="A104" s="87" t="s">
        <v>3</v>
      </c>
      <c r="B104" s="12"/>
      <c r="C104" s="12">
        <v>2100021395</v>
      </c>
      <c r="D104" s="34" t="s">
        <v>333</v>
      </c>
      <c r="E104" s="12">
        <v>20</v>
      </c>
      <c r="F104" s="12">
        <f t="shared" ref="F104" si="17">E104*$F$102/1000</f>
        <v>0.02</v>
      </c>
      <c r="G104" s="12">
        <f t="shared" ref="G104" si="18">E104*$G$102/1000</f>
        <v>0.02</v>
      </c>
      <c r="H104" s="10" t="s">
        <v>13</v>
      </c>
      <c r="I104" s="10"/>
      <c r="J104" s="10"/>
    </row>
    <row r="105" spans="1:10" x14ac:dyDescent="0.25">
      <c r="A105" s="87" t="s">
        <v>3</v>
      </c>
      <c r="B105" s="30"/>
      <c r="C105" s="12">
        <v>2000020138</v>
      </c>
      <c r="D105" s="34" t="s">
        <v>418</v>
      </c>
      <c r="E105" s="12">
        <v>5</v>
      </c>
      <c r="F105" s="12">
        <f>E105*$F$102</f>
        <v>5</v>
      </c>
      <c r="G105" s="12">
        <f>E105*$G$102</f>
        <v>5</v>
      </c>
      <c r="H105" s="10" t="s">
        <v>84</v>
      </c>
      <c r="I105" s="10"/>
      <c r="J105" s="10"/>
    </row>
    <row r="106" spans="1:10" x14ac:dyDescent="0.25">
      <c r="A106" s="87" t="s">
        <v>3</v>
      </c>
      <c r="B106" s="51" t="s">
        <v>7</v>
      </c>
      <c r="C106" s="30">
        <v>3000131237</v>
      </c>
      <c r="D106" s="33" t="s">
        <v>412</v>
      </c>
      <c r="E106" s="12"/>
      <c r="F106" s="30">
        <v>0</v>
      </c>
      <c r="G106" s="30">
        <v>0</v>
      </c>
      <c r="H106" s="30" t="s">
        <v>84</v>
      </c>
      <c r="I106" s="10"/>
      <c r="J106" s="10"/>
    </row>
    <row r="107" spans="1:10" x14ac:dyDescent="0.25">
      <c r="A107" s="87" t="s">
        <v>3</v>
      </c>
      <c r="B107" s="51"/>
      <c r="C107" s="12">
        <v>2000020813</v>
      </c>
      <c r="D107" s="34" t="s">
        <v>279</v>
      </c>
      <c r="E107" s="12">
        <v>15</v>
      </c>
      <c r="F107" s="12">
        <f>E107*$F$106/1000</f>
        <v>0</v>
      </c>
      <c r="G107" s="12">
        <f>E107*$G$106/1000</f>
        <v>0</v>
      </c>
      <c r="H107" s="10" t="s">
        <v>13</v>
      </c>
      <c r="I107" s="10"/>
      <c r="J107" s="10"/>
    </row>
    <row r="108" spans="1:10" x14ac:dyDescent="0.25">
      <c r="A108" s="87" t="s">
        <v>3</v>
      </c>
      <c r="B108" s="51"/>
      <c r="C108" s="12">
        <v>2100021485</v>
      </c>
      <c r="D108" s="34" t="s">
        <v>404</v>
      </c>
      <c r="E108" s="12">
        <v>10</v>
      </c>
      <c r="F108" s="12">
        <f>E108*$F$106/1000</f>
        <v>0</v>
      </c>
      <c r="G108" s="12">
        <f t="shared" ref="G108" si="19">E108*$G$106/1000</f>
        <v>0</v>
      </c>
      <c r="H108" s="10" t="s">
        <v>13</v>
      </c>
      <c r="I108" s="10"/>
      <c r="J108" s="10"/>
    </row>
    <row r="109" spans="1:10" x14ac:dyDescent="0.25">
      <c r="A109" s="87" t="s">
        <v>3</v>
      </c>
      <c r="B109" s="51"/>
      <c r="C109" s="12">
        <v>2000020636</v>
      </c>
      <c r="D109" s="34" t="s">
        <v>98</v>
      </c>
      <c r="E109" s="12">
        <v>1</v>
      </c>
      <c r="F109" s="12">
        <f>E109*$F$106</f>
        <v>0</v>
      </c>
      <c r="G109" s="12">
        <f>E109*$G$106</f>
        <v>0</v>
      </c>
      <c r="H109" s="10" t="s">
        <v>84</v>
      </c>
      <c r="I109" s="10"/>
      <c r="J109" s="10"/>
    </row>
    <row r="110" spans="1:10" x14ac:dyDescent="0.25">
      <c r="A110" s="87" t="s">
        <v>424</v>
      </c>
      <c r="B110" s="51" t="s">
        <v>7</v>
      </c>
      <c r="C110" s="26">
        <v>3000131091</v>
      </c>
      <c r="D110" s="33" t="s">
        <v>103</v>
      </c>
      <c r="E110" s="12"/>
      <c r="F110" s="30">
        <v>15</v>
      </c>
      <c r="G110" s="30">
        <v>17</v>
      </c>
      <c r="H110" s="30" t="s">
        <v>84</v>
      </c>
      <c r="I110" s="10"/>
      <c r="J110" s="10"/>
    </row>
    <row r="111" spans="1:10" x14ac:dyDescent="0.25">
      <c r="A111" s="87" t="s">
        <v>424</v>
      </c>
      <c r="B111" s="51"/>
      <c r="C111" s="10">
        <v>2200022926</v>
      </c>
      <c r="D111" s="34" t="s">
        <v>105</v>
      </c>
      <c r="E111" s="12">
        <v>50</v>
      </c>
      <c r="F111" s="12">
        <f>E111*$F$110/1000</f>
        <v>0.75</v>
      </c>
      <c r="G111" s="12">
        <f>E111*$G$110/1000</f>
        <v>0.85</v>
      </c>
      <c r="H111" s="12" t="s">
        <v>13</v>
      </c>
      <c r="I111" s="10"/>
      <c r="J111" s="10"/>
    </row>
    <row r="112" spans="1:10" x14ac:dyDescent="0.25">
      <c r="A112" s="87" t="s">
        <v>424</v>
      </c>
      <c r="B112" s="51"/>
      <c r="C112" s="10" t="s">
        <v>69</v>
      </c>
      <c r="D112" s="34" t="s">
        <v>70</v>
      </c>
      <c r="E112" s="12">
        <v>25</v>
      </c>
      <c r="F112" s="12">
        <f t="shared" ref="F112" si="20">E112*$F$110/1000</f>
        <v>0.375</v>
      </c>
      <c r="G112" s="12">
        <f t="shared" ref="G112" si="21">E112*$G$110/1000</f>
        <v>0.42499999999999999</v>
      </c>
      <c r="H112" s="12" t="s">
        <v>13</v>
      </c>
      <c r="I112" s="10"/>
      <c r="J112" s="10"/>
    </row>
    <row r="113" spans="1:10" x14ac:dyDescent="0.25">
      <c r="A113" s="87" t="s">
        <v>424</v>
      </c>
      <c r="B113" s="51"/>
      <c r="C113" s="10">
        <v>2000020061</v>
      </c>
      <c r="D113" s="34" t="s">
        <v>21</v>
      </c>
      <c r="E113" s="12">
        <v>1</v>
      </c>
      <c r="F113" s="12">
        <f>E113*$F$110/1000</f>
        <v>1.4999999999999999E-2</v>
      </c>
      <c r="G113" s="12">
        <f>E113*$G$110/1000</f>
        <v>1.7000000000000001E-2</v>
      </c>
      <c r="H113" s="12" t="s">
        <v>13</v>
      </c>
      <c r="I113" s="10"/>
      <c r="J113" s="10"/>
    </row>
    <row r="114" spans="1:10" x14ac:dyDescent="0.25">
      <c r="A114" s="87" t="s">
        <v>424</v>
      </c>
      <c r="B114" s="30"/>
      <c r="C114" s="12">
        <v>2300023947</v>
      </c>
      <c r="D114" s="34" t="s">
        <v>104</v>
      </c>
      <c r="E114" s="12">
        <v>3</v>
      </c>
      <c r="F114" s="12">
        <f>E114*$F$110</f>
        <v>45</v>
      </c>
      <c r="G114" s="8">
        <f>E114*$G$110</f>
        <v>51</v>
      </c>
      <c r="H114" s="12" t="s">
        <v>84</v>
      </c>
      <c r="I114" s="10"/>
      <c r="J114" s="10"/>
    </row>
    <row r="115" spans="1:10" x14ac:dyDescent="0.25">
      <c r="A115" s="87" t="s">
        <v>4</v>
      </c>
      <c r="B115" s="26" t="s">
        <v>7</v>
      </c>
      <c r="C115" s="30">
        <v>3000132297</v>
      </c>
      <c r="D115" s="33" t="s">
        <v>480</v>
      </c>
      <c r="E115" s="12"/>
      <c r="F115" s="30">
        <v>167</v>
      </c>
      <c r="G115" s="9">
        <v>200</v>
      </c>
      <c r="H115" s="26" t="s">
        <v>84</v>
      </c>
      <c r="I115" s="10"/>
      <c r="J115" s="10"/>
    </row>
    <row r="116" spans="1:10" x14ac:dyDescent="0.25">
      <c r="A116" s="87" t="s">
        <v>4</v>
      </c>
      <c r="B116" s="26"/>
      <c r="C116" s="12">
        <v>2300023947</v>
      </c>
      <c r="D116" s="34" t="s">
        <v>104</v>
      </c>
      <c r="E116" s="12">
        <v>2</v>
      </c>
      <c r="F116" s="12">
        <f>E116*F115</f>
        <v>334</v>
      </c>
      <c r="G116" s="12">
        <f>E116*G115</f>
        <v>400</v>
      </c>
      <c r="H116" s="12" t="s">
        <v>84</v>
      </c>
      <c r="I116" s="10"/>
      <c r="J116" s="10"/>
    </row>
    <row r="117" spans="1:10" x14ac:dyDescent="0.25">
      <c r="A117" s="87" t="s">
        <v>4</v>
      </c>
      <c r="B117" s="10"/>
      <c r="C117" s="10">
        <v>2300023380</v>
      </c>
      <c r="D117" s="11" t="s">
        <v>403</v>
      </c>
      <c r="E117" s="10">
        <v>20</v>
      </c>
      <c r="F117" s="12">
        <f>E117*$F$115/1000</f>
        <v>3.34</v>
      </c>
      <c r="G117" s="8">
        <f>E117*$G$115/1000</f>
        <v>4</v>
      </c>
      <c r="H117" s="12" t="s">
        <v>13</v>
      </c>
      <c r="I117" s="10"/>
      <c r="J117" s="10"/>
    </row>
    <row r="118" spans="1:10" s="28" customFormat="1" x14ac:dyDescent="0.25">
      <c r="A118" s="87" t="s">
        <v>4</v>
      </c>
      <c r="B118" s="26" t="s">
        <v>7</v>
      </c>
      <c r="C118" s="26">
        <v>3800038626</v>
      </c>
      <c r="D118" s="27" t="s">
        <v>641</v>
      </c>
      <c r="E118" s="26"/>
      <c r="F118" s="26">
        <v>24</v>
      </c>
      <c r="G118" s="9">
        <v>24</v>
      </c>
      <c r="H118" s="26" t="s">
        <v>84</v>
      </c>
      <c r="I118" s="26"/>
      <c r="J118" s="26"/>
    </row>
    <row r="119" spans="1:10" s="28" customFormat="1" x14ac:dyDescent="0.25">
      <c r="A119" s="87" t="s">
        <v>4</v>
      </c>
      <c r="B119" s="26"/>
      <c r="C119" s="10">
        <v>2200022159</v>
      </c>
      <c r="D119" s="11" t="s">
        <v>478</v>
      </c>
      <c r="E119" s="10">
        <v>15</v>
      </c>
      <c r="F119" s="10">
        <f>E119*$F$118/1000</f>
        <v>0.36</v>
      </c>
      <c r="G119" s="10">
        <f>E119*$G$118/1000</f>
        <v>0.36</v>
      </c>
      <c r="H119" s="12" t="s">
        <v>13</v>
      </c>
      <c r="I119" s="26"/>
      <c r="J119" s="26"/>
    </row>
    <row r="120" spans="1:10" s="28" customFormat="1" x14ac:dyDescent="0.25">
      <c r="A120" s="87" t="s">
        <v>4</v>
      </c>
      <c r="B120" s="26"/>
      <c r="C120" s="10">
        <v>3500035086</v>
      </c>
      <c r="D120" s="11" t="s">
        <v>65</v>
      </c>
      <c r="E120" s="10">
        <v>180</v>
      </c>
      <c r="F120" s="10">
        <f t="shared" ref="F120" si="22">E120*$F$118/1000</f>
        <v>4.32</v>
      </c>
      <c r="G120" s="10">
        <f t="shared" ref="G120" si="23">E120*$G$118/1000</f>
        <v>4.32</v>
      </c>
      <c r="H120" s="12" t="s">
        <v>13</v>
      </c>
      <c r="I120" s="26"/>
      <c r="J120" s="26"/>
    </row>
    <row r="121" spans="1:10" s="28" customFormat="1" x14ac:dyDescent="0.25">
      <c r="A121" s="87" t="s">
        <v>4</v>
      </c>
      <c r="B121" s="26" t="s">
        <v>7</v>
      </c>
      <c r="C121" s="26">
        <v>3800038622</v>
      </c>
      <c r="D121" s="27" t="s">
        <v>642</v>
      </c>
      <c r="E121" s="10"/>
      <c r="F121" s="26">
        <v>24</v>
      </c>
      <c r="G121" s="9">
        <v>24</v>
      </c>
      <c r="H121" s="26" t="s">
        <v>84</v>
      </c>
      <c r="I121" s="26"/>
      <c r="J121" s="26"/>
    </row>
    <row r="122" spans="1:10" s="28" customFormat="1" x14ac:dyDescent="0.25">
      <c r="A122" s="87" t="s">
        <v>4</v>
      </c>
      <c r="B122" s="26"/>
      <c r="C122" s="10">
        <v>3000030621</v>
      </c>
      <c r="D122" s="11" t="s">
        <v>419</v>
      </c>
      <c r="E122" s="10">
        <v>10</v>
      </c>
      <c r="F122" s="10">
        <f>E122*$F$121/1000</f>
        <v>0.24</v>
      </c>
      <c r="G122" s="10">
        <f>E122*$G$121/1000</f>
        <v>0.24</v>
      </c>
      <c r="H122" s="12" t="s">
        <v>13</v>
      </c>
      <c r="I122" s="26"/>
      <c r="J122" s="26"/>
    </row>
    <row r="123" spans="1:10" s="28" customFormat="1" x14ac:dyDescent="0.25">
      <c r="A123" s="87" t="s">
        <v>4</v>
      </c>
      <c r="B123" s="26"/>
      <c r="C123" s="10">
        <v>2000020636</v>
      </c>
      <c r="D123" s="11" t="s">
        <v>98</v>
      </c>
      <c r="E123" s="10">
        <v>1</v>
      </c>
      <c r="F123" s="10">
        <f>E123*$F$121</f>
        <v>24</v>
      </c>
      <c r="G123" s="10">
        <f>E123*$G$121</f>
        <v>24</v>
      </c>
      <c r="H123" s="12" t="s">
        <v>84</v>
      </c>
      <c r="I123" s="26"/>
      <c r="J123" s="26"/>
    </row>
    <row r="124" spans="1:10" s="28" customFormat="1" x14ac:dyDescent="0.25">
      <c r="A124" s="87" t="s">
        <v>4</v>
      </c>
      <c r="B124" s="26"/>
      <c r="C124" s="10">
        <v>2800028133</v>
      </c>
      <c r="D124" s="11" t="s">
        <v>310</v>
      </c>
      <c r="E124" s="10">
        <v>40</v>
      </c>
      <c r="F124" s="10">
        <f t="shared" ref="F124" si="24">E124*$F$121/1000</f>
        <v>0.96</v>
      </c>
      <c r="G124" s="10">
        <f t="shared" ref="G124" si="25">E124*$G$121/1000</f>
        <v>0.96</v>
      </c>
      <c r="H124" s="12" t="s">
        <v>13</v>
      </c>
      <c r="I124" s="26"/>
      <c r="J124" s="26"/>
    </row>
    <row r="125" spans="1:10" x14ac:dyDescent="0.25">
      <c r="A125" s="87" t="s">
        <v>4</v>
      </c>
      <c r="B125" s="26" t="s">
        <v>7</v>
      </c>
      <c r="C125" s="26">
        <v>3700037714</v>
      </c>
      <c r="D125" s="27" t="s">
        <v>644</v>
      </c>
      <c r="E125" s="26"/>
      <c r="F125" s="26">
        <v>24</v>
      </c>
      <c r="G125" s="9">
        <v>24</v>
      </c>
      <c r="H125" s="26" t="s">
        <v>84</v>
      </c>
      <c r="I125" s="10"/>
      <c r="J125" s="10"/>
    </row>
    <row r="126" spans="1:10" x14ac:dyDescent="0.25">
      <c r="A126" s="87" t="s">
        <v>4</v>
      </c>
      <c r="B126" s="10"/>
      <c r="C126" s="10">
        <v>2300023773</v>
      </c>
      <c r="D126" s="11" t="s">
        <v>634</v>
      </c>
      <c r="E126" s="10">
        <v>50</v>
      </c>
      <c r="F126" s="10">
        <f>E126*$F$125/1000</f>
        <v>1.2</v>
      </c>
      <c r="G126" s="10">
        <f>E126*$G$125/1000</f>
        <v>1.2</v>
      </c>
      <c r="H126" s="10" t="s">
        <v>13</v>
      </c>
      <c r="I126" s="10"/>
      <c r="J126" s="10"/>
    </row>
    <row r="127" spans="1:10" x14ac:dyDescent="0.25">
      <c r="A127" s="87" t="s">
        <v>4</v>
      </c>
      <c r="B127" s="10"/>
      <c r="C127" s="10">
        <v>2200022276</v>
      </c>
      <c r="D127" s="11" t="s">
        <v>646</v>
      </c>
      <c r="E127" s="10">
        <v>15</v>
      </c>
      <c r="F127" s="10">
        <f t="shared" ref="F127" si="26">E127*$F$125/1000</f>
        <v>0.36</v>
      </c>
      <c r="G127" s="10">
        <f t="shared" ref="G127" si="27">E127*$G$125/1000</f>
        <v>0.36</v>
      </c>
      <c r="H127" s="10" t="s">
        <v>13</v>
      </c>
      <c r="I127" s="10"/>
      <c r="J127" s="10"/>
    </row>
    <row r="128" spans="1:10" x14ac:dyDescent="0.25">
      <c r="A128" s="87" t="s">
        <v>4</v>
      </c>
      <c r="B128" s="10"/>
      <c r="C128" s="10">
        <v>2000020636</v>
      </c>
      <c r="D128" s="11" t="s">
        <v>98</v>
      </c>
      <c r="E128" s="10">
        <v>2</v>
      </c>
      <c r="F128" s="10">
        <f>E128*$F$125</f>
        <v>48</v>
      </c>
      <c r="G128" s="10">
        <f>E128*$G$125</f>
        <v>48</v>
      </c>
      <c r="H128" s="10" t="s">
        <v>84</v>
      </c>
      <c r="I128" s="10"/>
      <c r="J128" s="10"/>
    </row>
    <row r="129" spans="1:10" x14ac:dyDescent="0.25">
      <c r="A129" s="87" t="s">
        <v>4</v>
      </c>
      <c r="B129" s="26" t="s">
        <v>7</v>
      </c>
      <c r="C129" s="26">
        <v>3800038628</v>
      </c>
      <c r="D129" s="27" t="s">
        <v>643</v>
      </c>
      <c r="E129" s="10"/>
      <c r="F129" s="26">
        <v>24</v>
      </c>
      <c r="G129" s="9">
        <v>24</v>
      </c>
      <c r="H129" s="26" t="s">
        <v>84</v>
      </c>
      <c r="I129" s="10"/>
      <c r="J129" s="10"/>
    </row>
    <row r="130" spans="1:10" x14ac:dyDescent="0.25">
      <c r="A130" s="87" t="s">
        <v>4</v>
      </c>
      <c r="B130" s="10"/>
      <c r="C130" s="10">
        <v>2200022296</v>
      </c>
      <c r="D130" s="11" t="s">
        <v>479</v>
      </c>
      <c r="E130" s="10">
        <v>40</v>
      </c>
      <c r="F130" s="10">
        <f>E130*$F$129/1000</f>
        <v>0.96</v>
      </c>
      <c r="G130" s="10">
        <f>E130*$G$129/1000</f>
        <v>0.96</v>
      </c>
      <c r="H130" s="10" t="s">
        <v>13</v>
      </c>
      <c r="I130" s="10"/>
      <c r="J130" s="10"/>
    </row>
    <row r="131" spans="1:10" x14ac:dyDescent="0.25">
      <c r="A131" s="87" t="s">
        <v>4</v>
      </c>
      <c r="B131" s="10"/>
      <c r="C131" s="10">
        <v>3100031111</v>
      </c>
      <c r="D131" s="11" t="s">
        <v>645</v>
      </c>
      <c r="E131" s="10">
        <v>80</v>
      </c>
      <c r="F131" s="10">
        <f>E131*$F$129/1000</f>
        <v>1.92</v>
      </c>
      <c r="G131" s="10">
        <f>E131*$G$129/1000</f>
        <v>1.92</v>
      </c>
      <c r="H131" s="10" t="s">
        <v>13</v>
      </c>
      <c r="I131" s="10"/>
      <c r="J131" s="10"/>
    </row>
    <row r="132" spans="1:10" x14ac:dyDescent="0.25">
      <c r="A132" s="87" t="s">
        <v>41</v>
      </c>
      <c r="B132" s="26" t="s">
        <v>7</v>
      </c>
      <c r="C132" s="26">
        <v>3000134139</v>
      </c>
      <c r="D132" s="27" t="s">
        <v>128</v>
      </c>
      <c r="E132" s="26"/>
      <c r="F132" s="26">
        <v>21</v>
      </c>
      <c r="G132" s="9">
        <v>16</v>
      </c>
      <c r="H132" s="26" t="s">
        <v>84</v>
      </c>
      <c r="I132" s="10"/>
      <c r="J132" s="10"/>
    </row>
    <row r="133" spans="1:10" x14ac:dyDescent="0.25">
      <c r="A133" s="87" t="s">
        <v>41</v>
      </c>
      <c r="B133" s="26"/>
      <c r="C133" s="10">
        <v>3000133819</v>
      </c>
      <c r="D133" s="11" t="s">
        <v>124</v>
      </c>
      <c r="E133" s="10">
        <v>10</v>
      </c>
      <c r="F133" s="10">
        <f>E133*$F$132/1000</f>
        <v>0.21</v>
      </c>
      <c r="G133" s="10">
        <f>E133*$G$132/1000</f>
        <v>0.16</v>
      </c>
      <c r="H133" s="10" t="s">
        <v>13</v>
      </c>
      <c r="I133" s="10"/>
      <c r="J133" s="10"/>
    </row>
    <row r="134" spans="1:10" x14ac:dyDescent="0.25">
      <c r="A134" s="87" t="s">
        <v>41</v>
      </c>
      <c r="B134" s="26"/>
      <c r="C134" s="10">
        <v>3200032735</v>
      </c>
      <c r="D134" s="11" t="s">
        <v>491</v>
      </c>
      <c r="E134" s="10">
        <v>30</v>
      </c>
      <c r="F134" s="10">
        <f t="shared" ref="F134:F136" si="28">E134*$F$132/1000</f>
        <v>0.63</v>
      </c>
      <c r="G134" s="10">
        <f t="shared" ref="G134:G136" si="29">E134*$G$132/1000</f>
        <v>0.48</v>
      </c>
      <c r="H134" s="10" t="s">
        <v>13</v>
      </c>
      <c r="I134" s="10"/>
      <c r="J134" s="10"/>
    </row>
    <row r="135" spans="1:10" x14ac:dyDescent="0.25">
      <c r="A135" s="87" t="s">
        <v>41</v>
      </c>
      <c r="B135" s="26"/>
      <c r="C135" s="10">
        <v>3400034366</v>
      </c>
      <c r="D135" s="11" t="s">
        <v>125</v>
      </c>
      <c r="E135" s="10">
        <v>20</v>
      </c>
      <c r="F135" s="10">
        <f t="shared" si="28"/>
        <v>0.42</v>
      </c>
      <c r="G135" s="10">
        <f t="shared" si="29"/>
        <v>0.32</v>
      </c>
      <c r="H135" s="10" t="s">
        <v>127</v>
      </c>
      <c r="I135" s="10"/>
      <c r="J135" s="10"/>
    </row>
    <row r="136" spans="1:10" x14ac:dyDescent="0.25">
      <c r="A136" s="87" t="s">
        <v>41</v>
      </c>
      <c r="B136" s="26"/>
      <c r="C136" s="10">
        <v>2100021722</v>
      </c>
      <c r="D136" s="11" t="s">
        <v>126</v>
      </c>
      <c r="E136" s="10">
        <v>10</v>
      </c>
      <c r="F136" s="10">
        <f t="shared" si="28"/>
        <v>0.21</v>
      </c>
      <c r="G136" s="10">
        <f t="shared" si="29"/>
        <v>0.16</v>
      </c>
      <c r="H136" s="10" t="s">
        <v>13</v>
      </c>
      <c r="I136" s="10"/>
      <c r="J136" s="10"/>
    </row>
    <row r="137" spans="1:10" x14ac:dyDescent="0.25">
      <c r="A137" s="87" t="s">
        <v>41</v>
      </c>
      <c r="B137" s="26" t="s">
        <v>6</v>
      </c>
      <c r="C137" s="26">
        <v>3000134142</v>
      </c>
      <c r="D137" s="35" t="s">
        <v>318</v>
      </c>
      <c r="E137" s="38"/>
      <c r="F137" s="26">
        <v>56</v>
      </c>
      <c r="G137" s="26">
        <v>52</v>
      </c>
      <c r="H137" s="26" t="s">
        <v>14</v>
      </c>
      <c r="I137" s="117"/>
      <c r="J137" s="117"/>
    </row>
    <row r="138" spans="1:10" x14ac:dyDescent="0.25">
      <c r="A138" s="87" t="s">
        <v>41</v>
      </c>
      <c r="B138" s="10"/>
      <c r="C138" s="10">
        <v>3000134141</v>
      </c>
      <c r="D138" s="37" t="s">
        <v>578</v>
      </c>
      <c r="E138" s="38">
        <v>40</v>
      </c>
      <c r="F138" s="10">
        <f>E138*F137/1000</f>
        <v>2.2400000000000002</v>
      </c>
      <c r="G138" s="10">
        <f>E138*G137/1000</f>
        <v>2.08</v>
      </c>
      <c r="H138" s="10" t="s">
        <v>13</v>
      </c>
      <c r="I138" s="117"/>
      <c r="J138" s="117"/>
    </row>
    <row r="139" spans="1:10" s="28" customFormat="1" x14ac:dyDescent="0.25">
      <c r="A139" s="87" t="s">
        <v>41</v>
      </c>
      <c r="B139" s="26" t="s">
        <v>10</v>
      </c>
      <c r="C139" s="30">
        <v>4001412317</v>
      </c>
      <c r="D139" s="35" t="s">
        <v>311</v>
      </c>
      <c r="E139" s="36"/>
      <c r="F139" s="26">
        <v>21</v>
      </c>
      <c r="G139" s="26">
        <v>16</v>
      </c>
      <c r="H139" s="26" t="s">
        <v>14</v>
      </c>
      <c r="I139" s="117"/>
      <c r="J139" s="117"/>
    </row>
    <row r="140" spans="1:10" s="28" customFormat="1" x14ac:dyDescent="0.25">
      <c r="A140" s="87" t="s">
        <v>41</v>
      </c>
      <c r="B140" s="26"/>
      <c r="C140" s="10">
        <v>2100021323</v>
      </c>
      <c r="D140" s="37" t="s">
        <v>98</v>
      </c>
      <c r="E140" s="38">
        <v>1</v>
      </c>
      <c r="F140" s="10">
        <f>E140*F139</f>
        <v>21</v>
      </c>
      <c r="G140" s="10">
        <f>E140*G139</f>
        <v>16</v>
      </c>
      <c r="H140" s="10" t="s">
        <v>84</v>
      </c>
      <c r="I140" s="117"/>
      <c r="J140" s="117"/>
    </row>
    <row r="141" spans="1:10" x14ac:dyDescent="0.25">
      <c r="A141" s="87" t="s">
        <v>41</v>
      </c>
      <c r="B141" s="10"/>
      <c r="C141" s="10">
        <v>3000030590</v>
      </c>
      <c r="D141" s="37" t="s">
        <v>312</v>
      </c>
      <c r="E141" s="38">
        <v>1</v>
      </c>
      <c r="F141" s="10">
        <f>E141*F139</f>
        <v>21</v>
      </c>
      <c r="G141" s="10">
        <f>E141*$G$139</f>
        <v>16</v>
      </c>
      <c r="H141" s="10" t="s">
        <v>84</v>
      </c>
      <c r="I141" s="117"/>
      <c r="J141" s="117"/>
    </row>
    <row r="142" spans="1:10" x14ac:dyDescent="0.25">
      <c r="A142" s="87" t="s">
        <v>42</v>
      </c>
      <c r="B142" s="39" t="s">
        <v>7</v>
      </c>
      <c r="C142" s="39">
        <v>3000134153</v>
      </c>
      <c r="D142" s="122" t="s">
        <v>329</v>
      </c>
      <c r="E142" s="123"/>
      <c r="F142" s="39">
        <v>176</v>
      </c>
      <c r="G142" s="39">
        <v>270</v>
      </c>
      <c r="H142" s="39" t="s">
        <v>14</v>
      </c>
      <c r="I142" s="117"/>
      <c r="J142" s="117"/>
    </row>
    <row r="143" spans="1:10" x14ac:dyDescent="0.25">
      <c r="A143" s="87" t="s">
        <v>42</v>
      </c>
      <c r="B143" s="47"/>
      <c r="C143" s="47">
        <v>2000020048</v>
      </c>
      <c r="D143" s="120" t="s">
        <v>330</v>
      </c>
      <c r="E143" s="121">
        <v>3</v>
      </c>
      <c r="F143" s="47">
        <f>E143*$F$142</f>
        <v>528</v>
      </c>
      <c r="G143" s="47">
        <f>E143*$G$142</f>
        <v>810</v>
      </c>
      <c r="H143" s="47" t="s">
        <v>84</v>
      </c>
      <c r="I143" s="117"/>
      <c r="J143" s="117"/>
    </row>
    <row r="144" spans="1:10" x14ac:dyDescent="0.25">
      <c r="A144" s="87" t="s">
        <v>42</v>
      </c>
      <c r="B144" s="47"/>
      <c r="C144" s="47">
        <v>2200022242</v>
      </c>
      <c r="D144" s="120" t="s">
        <v>108</v>
      </c>
      <c r="E144" s="121">
        <v>20</v>
      </c>
      <c r="F144" s="47">
        <f>E144*$F$142/1000</f>
        <v>3.52</v>
      </c>
      <c r="G144" s="47">
        <f>E144*$G$142/1000</f>
        <v>5.4</v>
      </c>
      <c r="H144" s="47" t="s">
        <v>13</v>
      </c>
      <c r="I144" s="117"/>
      <c r="J144" s="117"/>
    </row>
    <row r="145" spans="1:10" x14ac:dyDescent="0.25">
      <c r="A145" s="87" t="s">
        <v>42</v>
      </c>
      <c r="B145" s="47"/>
      <c r="C145" s="47">
        <v>2000020636</v>
      </c>
      <c r="D145" s="120" t="s">
        <v>98</v>
      </c>
      <c r="E145" s="121">
        <v>1</v>
      </c>
      <c r="F145" s="47">
        <f t="shared" ref="F145" si="30">E145*$F$142</f>
        <v>176</v>
      </c>
      <c r="G145" s="47">
        <f t="shared" ref="G145" si="31">E145*$G$142</f>
        <v>270</v>
      </c>
      <c r="H145" s="47" t="s">
        <v>84</v>
      </c>
      <c r="I145" s="117"/>
      <c r="J145" s="117"/>
    </row>
    <row r="146" spans="1:10" s="28" customFormat="1" x14ac:dyDescent="0.25">
      <c r="A146" s="87" t="s">
        <v>45</v>
      </c>
      <c r="B146" s="26" t="s">
        <v>7</v>
      </c>
      <c r="C146" s="26">
        <v>3400034732</v>
      </c>
      <c r="D146" s="27" t="s">
        <v>647</v>
      </c>
      <c r="E146" s="26"/>
      <c r="F146" s="26">
        <v>2.5</v>
      </c>
      <c r="G146" s="26">
        <v>2.5</v>
      </c>
      <c r="H146" s="26" t="s">
        <v>84</v>
      </c>
      <c r="I146" s="26"/>
      <c r="J146" s="26"/>
    </row>
    <row r="147" spans="1:10" s="28" customFormat="1" x14ac:dyDescent="0.25">
      <c r="A147" s="87" t="s">
        <v>45</v>
      </c>
      <c r="B147" s="26"/>
      <c r="C147" s="10">
        <v>2100021013</v>
      </c>
      <c r="D147" s="11" t="s">
        <v>420</v>
      </c>
      <c r="E147" s="10">
        <v>30</v>
      </c>
      <c r="F147" s="10">
        <f>E147*$F$146/1000</f>
        <v>7.4999999999999997E-2</v>
      </c>
      <c r="G147" s="10">
        <f>E147*$G$146/1000</f>
        <v>7.4999999999999997E-2</v>
      </c>
      <c r="H147" s="10" t="s">
        <v>13</v>
      </c>
      <c r="I147" s="26"/>
      <c r="J147" s="26"/>
    </row>
    <row r="148" spans="1:10" s="28" customFormat="1" x14ac:dyDescent="0.25">
      <c r="A148" s="87" t="s">
        <v>45</v>
      </c>
      <c r="B148" s="26"/>
      <c r="C148" s="10">
        <v>2300023226</v>
      </c>
      <c r="D148" s="11" t="s">
        <v>648</v>
      </c>
      <c r="E148" s="10">
        <v>50</v>
      </c>
      <c r="F148" s="10">
        <f t="shared" ref="F148:F149" si="32">E148*$F$146/1000</f>
        <v>0.125</v>
      </c>
      <c r="G148" s="10">
        <f t="shared" ref="G148:G149" si="33">E148*$G$146/1000</f>
        <v>0.125</v>
      </c>
      <c r="H148" s="10" t="s">
        <v>13</v>
      </c>
      <c r="I148" s="26"/>
      <c r="J148" s="26"/>
    </row>
    <row r="149" spans="1:10" s="28" customFormat="1" x14ac:dyDescent="0.25">
      <c r="A149" s="87" t="s">
        <v>45</v>
      </c>
      <c r="B149" s="26"/>
      <c r="C149" s="10">
        <v>2200022242</v>
      </c>
      <c r="D149" s="11" t="s">
        <v>108</v>
      </c>
      <c r="E149" s="10">
        <v>10</v>
      </c>
      <c r="F149" s="10">
        <f t="shared" si="32"/>
        <v>2.5000000000000001E-2</v>
      </c>
      <c r="G149" s="10">
        <f t="shared" si="33"/>
        <v>2.5000000000000001E-2</v>
      </c>
      <c r="H149" s="10" t="s">
        <v>13</v>
      </c>
      <c r="I149" s="26"/>
      <c r="J149" s="26"/>
    </row>
    <row r="150" spans="1:10" x14ac:dyDescent="0.25">
      <c r="A150" s="87" t="s">
        <v>45</v>
      </c>
      <c r="B150" s="26"/>
      <c r="C150" s="26">
        <v>3400034805</v>
      </c>
      <c r="D150" s="27" t="s">
        <v>649</v>
      </c>
      <c r="E150" s="10"/>
      <c r="F150" s="26">
        <v>2</v>
      </c>
      <c r="G150" s="26">
        <v>2</v>
      </c>
      <c r="H150" s="26" t="s">
        <v>84</v>
      </c>
      <c r="I150" s="10"/>
      <c r="J150" s="10"/>
    </row>
    <row r="151" spans="1:10" x14ac:dyDescent="0.25">
      <c r="A151" s="87" t="s">
        <v>45</v>
      </c>
      <c r="B151" s="26"/>
      <c r="C151" s="10">
        <v>3200032691</v>
      </c>
      <c r="D151" s="11" t="s">
        <v>650</v>
      </c>
      <c r="E151" s="10">
        <v>60</v>
      </c>
      <c r="F151" s="10">
        <f>E151*$F$150/1000</f>
        <v>0.12</v>
      </c>
      <c r="G151" s="10">
        <f>E151*$G$150/1000</f>
        <v>0.12</v>
      </c>
      <c r="H151" s="10" t="s">
        <v>13</v>
      </c>
      <c r="I151" s="10"/>
      <c r="J151" s="10"/>
    </row>
    <row r="152" spans="1:10" s="28" customFormat="1" x14ac:dyDescent="0.25">
      <c r="A152" s="87" t="s">
        <v>45</v>
      </c>
      <c r="B152" s="26" t="s">
        <v>7</v>
      </c>
      <c r="C152" s="26">
        <v>3800038595</v>
      </c>
      <c r="D152" s="27" t="s">
        <v>334</v>
      </c>
      <c r="E152" s="26"/>
      <c r="F152" s="26">
        <v>1</v>
      </c>
      <c r="G152" s="26">
        <v>1</v>
      </c>
      <c r="H152" s="26" t="s">
        <v>84</v>
      </c>
      <c r="I152" s="26"/>
      <c r="J152" s="26"/>
    </row>
    <row r="153" spans="1:10" x14ac:dyDescent="0.25">
      <c r="A153" s="87" t="s">
        <v>45</v>
      </c>
      <c r="B153" s="10"/>
      <c r="C153" s="10">
        <v>2000020296</v>
      </c>
      <c r="D153" s="11" t="s">
        <v>106</v>
      </c>
      <c r="E153" s="10">
        <v>10</v>
      </c>
      <c r="F153" s="10">
        <f>E153*$F$152/1000</f>
        <v>0.01</v>
      </c>
      <c r="G153" s="10">
        <f>E153*$G$152/1000</f>
        <v>0.01</v>
      </c>
      <c r="H153" s="10" t="s">
        <v>13</v>
      </c>
      <c r="I153" s="10"/>
      <c r="J153" s="10"/>
    </row>
    <row r="154" spans="1:10" x14ac:dyDescent="0.25">
      <c r="A154" s="87" t="s">
        <v>45</v>
      </c>
      <c r="B154" s="10"/>
      <c r="C154" s="10">
        <v>2000020147</v>
      </c>
      <c r="D154" s="11" t="s">
        <v>95</v>
      </c>
      <c r="E154" s="10">
        <v>30</v>
      </c>
      <c r="F154" s="10">
        <f t="shared" ref="F154:F155" si="34">E154*$F$152/1000</f>
        <v>0.03</v>
      </c>
      <c r="G154" s="10">
        <f t="shared" ref="G154:G155" si="35">E154*$G$152/1000</f>
        <v>0.03</v>
      </c>
      <c r="H154" s="10" t="s">
        <v>13</v>
      </c>
      <c r="I154" s="10"/>
      <c r="J154" s="10"/>
    </row>
    <row r="155" spans="1:10" x14ac:dyDescent="0.25">
      <c r="A155" s="87" t="s">
        <v>45</v>
      </c>
      <c r="B155" s="26"/>
      <c r="C155" s="10">
        <v>2300023214</v>
      </c>
      <c r="D155" s="11" t="s">
        <v>102</v>
      </c>
      <c r="E155" s="10">
        <v>40</v>
      </c>
      <c r="F155" s="10">
        <f t="shared" si="34"/>
        <v>0.04</v>
      </c>
      <c r="G155" s="10">
        <f t="shared" si="35"/>
        <v>0.04</v>
      </c>
      <c r="H155" s="10" t="s">
        <v>13</v>
      </c>
      <c r="I155" s="10"/>
      <c r="J155" s="10"/>
    </row>
    <row r="156" spans="1:10" x14ac:dyDescent="0.25">
      <c r="A156" s="87" t="s">
        <v>45</v>
      </c>
      <c r="B156" s="26" t="s">
        <v>7</v>
      </c>
      <c r="C156" s="26">
        <v>3400034939</v>
      </c>
      <c r="D156" s="27" t="s">
        <v>335</v>
      </c>
      <c r="E156" s="26"/>
      <c r="F156" s="26">
        <v>2</v>
      </c>
      <c r="G156" s="26">
        <v>2</v>
      </c>
      <c r="H156" s="26" t="s">
        <v>84</v>
      </c>
      <c r="I156" s="10"/>
      <c r="J156" s="10"/>
    </row>
    <row r="157" spans="1:10" x14ac:dyDescent="0.25">
      <c r="A157" s="87" t="s">
        <v>45</v>
      </c>
      <c r="B157" s="26"/>
      <c r="C157" s="10">
        <v>3500035087</v>
      </c>
      <c r="D157" s="11" t="s">
        <v>280</v>
      </c>
      <c r="E157" s="10">
        <v>50</v>
      </c>
      <c r="F157" s="10">
        <f>E157*F156/1000</f>
        <v>0.1</v>
      </c>
      <c r="G157" s="10">
        <f>E157*G156/1000</f>
        <v>0.1</v>
      </c>
      <c r="H157" s="10" t="s">
        <v>13</v>
      </c>
      <c r="I157" s="10"/>
      <c r="J157" s="10"/>
    </row>
    <row r="158" spans="1:10" x14ac:dyDescent="0.25">
      <c r="A158" s="87" t="s">
        <v>45</v>
      </c>
      <c r="B158" s="26" t="s">
        <v>7</v>
      </c>
      <c r="C158" s="26">
        <v>3800038296</v>
      </c>
      <c r="D158" s="27" t="s">
        <v>336</v>
      </c>
      <c r="E158" s="10"/>
      <c r="F158" s="26">
        <v>1</v>
      </c>
      <c r="G158" s="26">
        <v>1</v>
      </c>
      <c r="H158" s="26" t="s">
        <v>84</v>
      </c>
      <c r="I158" s="10"/>
      <c r="J158" s="10"/>
    </row>
    <row r="159" spans="1:10" x14ac:dyDescent="0.25">
      <c r="A159" s="87" t="s">
        <v>45</v>
      </c>
      <c r="B159" s="26"/>
      <c r="C159" s="10">
        <v>2200022258</v>
      </c>
      <c r="D159" s="11" t="s">
        <v>107</v>
      </c>
      <c r="E159" s="10">
        <v>60</v>
      </c>
      <c r="F159" s="10">
        <f>E159*$F$158/1000</f>
        <v>0.06</v>
      </c>
      <c r="G159" s="10">
        <f>E159*$G$158/1000</f>
        <v>0.06</v>
      </c>
      <c r="H159" s="10" t="s">
        <v>13</v>
      </c>
      <c r="I159" s="10"/>
      <c r="J159" s="10"/>
    </row>
    <row r="160" spans="1:10" x14ac:dyDescent="0.25">
      <c r="A160" s="87" t="s">
        <v>45</v>
      </c>
      <c r="B160" s="26"/>
      <c r="C160" s="10">
        <v>2200022242</v>
      </c>
      <c r="D160" s="11" t="s">
        <v>108</v>
      </c>
      <c r="E160" s="10">
        <v>10</v>
      </c>
      <c r="F160" s="10">
        <f>E160*$F$158/1000</f>
        <v>0.01</v>
      </c>
      <c r="G160" s="10">
        <f>E160*$G$158/1000</f>
        <v>0.01</v>
      </c>
      <c r="H160" s="10" t="s">
        <v>13</v>
      </c>
      <c r="I160" s="10"/>
      <c r="J160" s="10"/>
    </row>
    <row r="161" spans="1:10" x14ac:dyDescent="0.25">
      <c r="A161" s="87" t="s">
        <v>45</v>
      </c>
      <c r="B161" s="26"/>
      <c r="C161" s="30">
        <v>3000131884</v>
      </c>
      <c r="D161" s="27" t="s">
        <v>337</v>
      </c>
      <c r="E161" s="10"/>
      <c r="F161" s="26">
        <v>1</v>
      </c>
      <c r="G161" s="26">
        <v>1</v>
      </c>
      <c r="H161" s="26" t="s">
        <v>84</v>
      </c>
      <c r="I161" s="10"/>
      <c r="J161" s="10"/>
    </row>
    <row r="162" spans="1:10" x14ac:dyDescent="0.25">
      <c r="A162" s="87" t="s">
        <v>45</v>
      </c>
      <c r="B162" s="26"/>
      <c r="C162" s="10">
        <v>3000131885</v>
      </c>
      <c r="D162" s="11" t="s">
        <v>99</v>
      </c>
      <c r="E162" s="10">
        <v>60</v>
      </c>
      <c r="F162" s="10">
        <f>E162*F161/1000</f>
        <v>0.06</v>
      </c>
      <c r="G162" s="10">
        <f>E162*G161/1000</f>
        <v>0.06</v>
      </c>
      <c r="H162" s="10" t="s">
        <v>13</v>
      </c>
      <c r="I162" s="10"/>
      <c r="J162" s="10"/>
    </row>
    <row r="163" spans="1:10" x14ac:dyDescent="0.25">
      <c r="A163" s="87" t="s">
        <v>32</v>
      </c>
      <c r="B163" s="26" t="s">
        <v>7</v>
      </c>
      <c r="C163" s="30">
        <v>3900042917</v>
      </c>
      <c r="D163" s="27" t="s">
        <v>580</v>
      </c>
      <c r="E163" s="26"/>
      <c r="F163" s="26">
        <v>81</v>
      </c>
      <c r="G163" s="26">
        <v>101</v>
      </c>
      <c r="H163" s="26" t="s">
        <v>14</v>
      </c>
      <c r="I163" s="26"/>
      <c r="J163" s="26"/>
    </row>
    <row r="164" spans="1:10" x14ac:dyDescent="0.25">
      <c r="A164" s="87" t="s">
        <v>32</v>
      </c>
      <c r="B164" s="10"/>
      <c r="C164" s="10">
        <v>2000121988</v>
      </c>
      <c r="D164" s="11" t="s">
        <v>579</v>
      </c>
      <c r="E164" s="10">
        <v>4</v>
      </c>
      <c r="F164" s="10">
        <f>E164*$F$163</f>
        <v>324</v>
      </c>
      <c r="G164" s="10">
        <f>E164*$G$163</f>
        <v>404</v>
      </c>
      <c r="H164" s="10" t="s">
        <v>84</v>
      </c>
      <c r="I164" s="10"/>
      <c r="J164" s="10"/>
    </row>
    <row r="165" spans="1:10" x14ac:dyDescent="0.25">
      <c r="A165" s="87" t="s">
        <v>32</v>
      </c>
      <c r="B165" s="10"/>
      <c r="C165" s="10">
        <v>2200022264</v>
      </c>
      <c r="D165" s="11" t="s">
        <v>101</v>
      </c>
      <c r="E165" s="10">
        <v>20</v>
      </c>
      <c r="F165" s="10">
        <f>E165*$F$163/1000</f>
        <v>1.62</v>
      </c>
      <c r="G165" s="10">
        <f>E165*$G$163/1000</f>
        <v>2.02</v>
      </c>
      <c r="H165" s="10" t="s">
        <v>13</v>
      </c>
      <c r="I165" s="10"/>
      <c r="J165" s="10"/>
    </row>
    <row r="166" spans="1:10" x14ac:dyDescent="0.25">
      <c r="A166" s="87" t="s">
        <v>32</v>
      </c>
      <c r="B166" s="10"/>
      <c r="C166" s="10">
        <v>2200022159</v>
      </c>
      <c r="D166" s="11" t="s">
        <v>478</v>
      </c>
      <c r="E166" s="10">
        <v>20</v>
      </c>
      <c r="F166" s="10">
        <f>E166*$F$163/1000</f>
        <v>1.62</v>
      </c>
      <c r="G166" s="10">
        <f>E166*$G$163/1000</f>
        <v>2.02</v>
      </c>
      <c r="H166" s="10" t="s">
        <v>13</v>
      </c>
      <c r="I166" s="10"/>
      <c r="J166" s="10"/>
    </row>
    <row r="167" spans="1:10" x14ac:dyDescent="0.25">
      <c r="A167" s="87" t="s">
        <v>32</v>
      </c>
      <c r="B167" s="26" t="s">
        <v>7</v>
      </c>
      <c r="C167" s="26">
        <v>3900041141</v>
      </c>
      <c r="D167" s="27" t="s">
        <v>651</v>
      </c>
      <c r="E167" s="26"/>
      <c r="F167" s="26">
        <v>12</v>
      </c>
      <c r="G167" s="26">
        <v>14</v>
      </c>
      <c r="H167" s="26" t="s">
        <v>84</v>
      </c>
      <c r="I167" s="26"/>
      <c r="J167" s="26"/>
    </row>
    <row r="168" spans="1:10" x14ac:dyDescent="0.25">
      <c r="A168" s="87" t="s">
        <v>32</v>
      </c>
      <c r="B168" s="10"/>
      <c r="C168" s="10">
        <v>2200022264</v>
      </c>
      <c r="D168" s="11" t="s">
        <v>101</v>
      </c>
      <c r="E168" s="10">
        <v>20</v>
      </c>
      <c r="F168" s="10">
        <f>E168*$F$167/1000</f>
        <v>0.24</v>
      </c>
      <c r="G168" s="10">
        <f>E168*$G$167/1000</f>
        <v>0.28000000000000003</v>
      </c>
      <c r="H168" s="10" t="s">
        <v>13</v>
      </c>
      <c r="I168" s="10"/>
      <c r="J168" s="10"/>
    </row>
    <row r="169" spans="1:10" x14ac:dyDescent="0.25">
      <c r="A169" s="87" t="s">
        <v>32</v>
      </c>
      <c r="B169" s="10"/>
      <c r="C169" s="10">
        <v>3500035273</v>
      </c>
      <c r="D169" s="11" t="s">
        <v>109</v>
      </c>
      <c r="E169" s="10">
        <v>20</v>
      </c>
      <c r="F169" s="10">
        <f>E169*$F$167/1000</f>
        <v>0.24</v>
      </c>
      <c r="G169" s="10">
        <f>E169*$G$167/1000</f>
        <v>0.28000000000000003</v>
      </c>
      <c r="H169" s="10" t="s">
        <v>13</v>
      </c>
      <c r="I169" s="10"/>
      <c r="J169" s="10"/>
    </row>
    <row r="170" spans="1:10" s="28" customFormat="1" x14ac:dyDescent="0.25">
      <c r="A170" s="87" t="s">
        <v>32</v>
      </c>
      <c r="B170" s="10"/>
      <c r="C170" s="10">
        <v>3400034644</v>
      </c>
      <c r="D170" s="11" t="s">
        <v>110</v>
      </c>
      <c r="E170" s="10">
        <v>20</v>
      </c>
      <c r="F170" s="10">
        <f>E170*$F$167/1000</f>
        <v>0.24</v>
      </c>
      <c r="G170" s="10">
        <f>E170*$G$167/1000</f>
        <v>0.28000000000000003</v>
      </c>
      <c r="H170" s="10" t="s">
        <v>13</v>
      </c>
      <c r="I170" s="10"/>
      <c r="J170" s="10"/>
    </row>
    <row r="171" spans="1:10" x14ac:dyDescent="0.25">
      <c r="A171" s="87" t="s">
        <v>32</v>
      </c>
      <c r="B171" s="10"/>
      <c r="C171" s="10">
        <v>3100031437</v>
      </c>
      <c r="D171" s="11" t="s">
        <v>111</v>
      </c>
      <c r="E171" s="10">
        <v>20</v>
      </c>
      <c r="F171" s="10">
        <f>E171*$F$167/1000</f>
        <v>0.24</v>
      </c>
      <c r="G171" s="10">
        <f>E171*$G$167/1000</f>
        <v>0.28000000000000003</v>
      </c>
      <c r="H171" s="10" t="s">
        <v>13</v>
      </c>
      <c r="I171" s="10"/>
      <c r="J171" s="10"/>
    </row>
    <row r="172" spans="1:10" x14ac:dyDescent="0.25">
      <c r="A172" s="87" t="s">
        <v>32</v>
      </c>
      <c r="B172" s="10"/>
      <c r="C172" s="10">
        <v>2100021104</v>
      </c>
      <c r="D172" s="11" t="s">
        <v>112</v>
      </c>
      <c r="E172" s="10">
        <v>20</v>
      </c>
      <c r="F172" s="10">
        <f>E172*$F$167/1000</f>
        <v>0.24</v>
      </c>
      <c r="G172" s="10">
        <f>E172*$G$167/1000</f>
        <v>0.28000000000000003</v>
      </c>
      <c r="H172" s="10" t="s">
        <v>13</v>
      </c>
      <c r="I172" s="10"/>
      <c r="J172" s="10"/>
    </row>
    <row r="173" spans="1:10" x14ac:dyDescent="0.25">
      <c r="A173" s="87" t="s">
        <v>57</v>
      </c>
      <c r="B173" s="26" t="s">
        <v>7</v>
      </c>
      <c r="C173" s="26">
        <v>3900041483</v>
      </c>
      <c r="D173" s="27" t="s">
        <v>61</v>
      </c>
      <c r="E173" s="26"/>
      <c r="F173" s="26">
        <v>149</v>
      </c>
      <c r="G173" s="26">
        <v>175</v>
      </c>
      <c r="H173" s="26" t="s">
        <v>14</v>
      </c>
      <c r="I173" s="26"/>
      <c r="J173" s="26"/>
    </row>
    <row r="174" spans="1:10" x14ac:dyDescent="0.25">
      <c r="A174" s="87" t="s">
        <v>57</v>
      </c>
      <c r="B174" s="10"/>
      <c r="C174" s="10"/>
      <c r="D174" s="11" t="s">
        <v>95</v>
      </c>
      <c r="E174" s="10">
        <v>15</v>
      </c>
      <c r="F174" s="10">
        <f>E174*$F$173/1000</f>
        <v>2.2349999999999999</v>
      </c>
      <c r="G174" s="10">
        <f>E174*$G$173/1000</f>
        <v>2.625</v>
      </c>
      <c r="H174" s="10" t="s">
        <v>13</v>
      </c>
      <c r="I174" s="10"/>
      <c r="J174" s="10"/>
    </row>
    <row r="175" spans="1:10" x14ac:dyDescent="0.25">
      <c r="A175" s="87" t="s">
        <v>57</v>
      </c>
      <c r="B175" s="10"/>
      <c r="C175" s="10"/>
      <c r="D175" s="11" t="s">
        <v>102</v>
      </c>
      <c r="E175" s="10">
        <v>20</v>
      </c>
      <c r="F175" s="10">
        <f>E175*$F$173/1000</f>
        <v>2.98</v>
      </c>
      <c r="G175" s="10">
        <f>E175*$G$173/1000</f>
        <v>3.5</v>
      </c>
      <c r="H175" s="10" t="s">
        <v>13</v>
      </c>
      <c r="I175" s="10"/>
      <c r="J175" s="10"/>
    </row>
    <row r="176" spans="1:10" x14ac:dyDescent="0.25">
      <c r="A176" s="87" t="s">
        <v>57</v>
      </c>
      <c r="B176" s="30" t="s">
        <v>7</v>
      </c>
      <c r="C176" s="30">
        <v>3900041484</v>
      </c>
      <c r="D176" s="33" t="s">
        <v>129</v>
      </c>
      <c r="E176" s="12"/>
      <c r="F176" s="30">
        <v>1</v>
      </c>
      <c r="G176" s="30">
        <v>1</v>
      </c>
      <c r="H176" s="30" t="s">
        <v>84</v>
      </c>
      <c r="I176" s="12"/>
      <c r="J176" s="12"/>
    </row>
    <row r="177" spans="1:10" x14ac:dyDescent="0.25">
      <c r="A177" s="87" t="s">
        <v>57</v>
      </c>
      <c r="B177" s="30"/>
      <c r="C177" s="12"/>
      <c r="D177" s="34" t="s">
        <v>95</v>
      </c>
      <c r="E177" s="12">
        <v>15</v>
      </c>
      <c r="F177" s="12">
        <f>E177*$F$176/1000</f>
        <v>1.4999999999999999E-2</v>
      </c>
      <c r="G177" s="12">
        <f>E177*$G$176/1000</f>
        <v>1.4999999999999999E-2</v>
      </c>
      <c r="H177" s="12" t="s">
        <v>13</v>
      </c>
      <c r="I177" s="12"/>
      <c r="J177" s="12"/>
    </row>
    <row r="178" spans="1:10" x14ac:dyDescent="0.25">
      <c r="A178" s="87" t="s">
        <v>57</v>
      </c>
      <c r="B178" s="30"/>
      <c r="C178" s="12"/>
      <c r="D178" s="34" t="s">
        <v>102</v>
      </c>
      <c r="E178" s="12">
        <v>20</v>
      </c>
      <c r="F178" s="12">
        <f>E178*$F$176/1000</f>
        <v>0.02</v>
      </c>
      <c r="G178" s="12">
        <f>E178*$G$176/1000</f>
        <v>0.02</v>
      </c>
      <c r="H178" s="12" t="s">
        <v>13</v>
      </c>
      <c r="I178" s="12"/>
      <c r="J178" s="12"/>
    </row>
    <row r="179" spans="1:10" s="28" customFormat="1" x14ac:dyDescent="0.25">
      <c r="A179" s="87" t="s">
        <v>46</v>
      </c>
      <c r="B179" s="26" t="s">
        <v>7</v>
      </c>
      <c r="C179" s="26">
        <v>3400034880</v>
      </c>
      <c r="D179" s="27" t="s">
        <v>338</v>
      </c>
      <c r="E179" s="26"/>
      <c r="F179" s="26">
        <v>16</v>
      </c>
      <c r="G179" s="26">
        <v>24</v>
      </c>
      <c r="H179" s="26" t="s">
        <v>84</v>
      </c>
      <c r="I179" s="293" t="s">
        <v>652</v>
      </c>
      <c r="J179" s="294"/>
    </row>
    <row r="180" spans="1:10" x14ac:dyDescent="0.25">
      <c r="A180" s="87" t="s">
        <v>46</v>
      </c>
      <c r="B180" s="26"/>
      <c r="C180" s="10">
        <v>3100031044</v>
      </c>
      <c r="D180" s="11" t="s">
        <v>339</v>
      </c>
      <c r="E180" s="10">
        <v>1</v>
      </c>
      <c r="F180" s="10">
        <f>E180*$F$179</f>
        <v>16</v>
      </c>
      <c r="G180" s="10">
        <f>E180*$G$179</f>
        <v>24</v>
      </c>
      <c r="H180" s="10" t="s">
        <v>84</v>
      </c>
      <c r="I180" s="295"/>
      <c r="J180" s="296"/>
    </row>
    <row r="181" spans="1:10" x14ac:dyDescent="0.25">
      <c r="A181" s="87" t="s">
        <v>46</v>
      </c>
      <c r="B181" s="26"/>
      <c r="C181" s="10">
        <v>2000020636</v>
      </c>
      <c r="D181" s="11" t="s">
        <v>98</v>
      </c>
      <c r="E181" s="10">
        <v>1</v>
      </c>
      <c r="F181" s="10">
        <f>E181*$F$179</f>
        <v>16</v>
      </c>
      <c r="G181" s="10">
        <f>E181*$G$179</f>
        <v>24</v>
      </c>
      <c r="H181" s="10" t="s">
        <v>84</v>
      </c>
      <c r="I181" s="297"/>
      <c r="J181" s="298"/>
    </row>
    <row r="182" spans="1:10" x14ac:dyDescent="0.25">
      <c r="A182" s="87" t="s">
        <v>46</v>
      </c>
      <c r="B182" s="26" t="s">
        <v>7</v>
      </c>
      <c r="C182" s="26">
        <v>3400034801</v>
      </c>
      <c r="D182" s="27" t="s">
        <v>340</v>
      </c>
      <c r="E182" s="10"/>
      <c r="F182" s="26">
        <v>1</v>
      </c>
      <c r="G182" s="26">
        <v>1</v>
      </c>
      <c r="H182" s="26" t="s">
        <v>84</v>
      </c>
      <c r="I182" s="26"/>
      <c r="J182" s="26"/>
    </row>
    <row r="183" spans="1:10" x14ac:dyDescent="0.25">
      <c r="A183" s="87" t="s">
        <v>46</v>
      </c>
      <c r="B183" s="26"/>
      <c r="C183" s="10">
        <v>2800028133</v>
      </c>
      <c r="D183" s="11" t="s">
        <v>310</v>
      </c>
      <c r="E183" s="10">
        <v>20</v>
      </c>
      <c r="F183" s="10">
        <f>E183/1000</f>
        <v>0.02</v>
      </c>
      <c r="G183" s="10">
        <f>E183/1000</f>
        <v>0.02</v>
      </c>
      <c r="H183" s="10" t="s">
        <v>13</v>
      </c>
      <c r="I183" s="26"/>
      <c r="J183" s="26"/>
    </row>
    <row r="184" spans="1:10" x14ac:dyDescent="0.25">
      <c r="A184" s="87" t="s">
        <v>46</v>
      </c>
      <c r="B184" s="26"/>
      <c r="C184" s="10">
        <v>2000020636</v>
      </c>
      <c r="D184" s="11" t="s">
        <v>98</v>
      </c>
      <c r="E184" s="10">
        <v>1</v>
      </c>
      <c r="F184" s="10">
        <f>E184</f>
        <v>1</v>
      </c>
      <c r="G184" s="10">
        <f>E184</f>
        <v>1</v>
      </c>
      <c r="H184" s="10" t="s">
        <v>84</v>
      </c>
      <c r="I184" s="26"/>
      <c r="J184" s="26"/>
    </row>
    <row r="185" spans="1:10" x14ac:dyDescent="0.25">
      <c r="A185" s="87" t="s">
        <v>46</v>
      </c>
      <c r="B185" s="26" t="s">
        <v>7</v>
      </c>
      <c r="C185" s="26">
        <v>3000131054</v>
      </c>
      <c r="D185" s="27" t="s">
        <v>66</v>
      </c>
      <c r="E185" s="26"/>
      <c r="F185" s="26">
        <v>278</v>
      </c>
      <c r="G185" s="26">
        <v>285</v>
      </c>
      <c r="H185" s="26" t="s">
        <v>84</v>
      </c>
      <c r="I185" s="26"/>
      <c r="J185" s="26"/>
    </row>
    <row r="186" spans="1:10" x14ac:dyDescent="0.25">
      <c r="A186" s="87" t="s">
        <v>46</v>
      </c>
      <c r="B186" s="10"/>
      <c r="C186" s="10"/>
      <c r="D186" s="11" t="s">
        <v>113</v>
      </c>
      <c r="E186" s="10">
        <v>2</v>
      </c>
      <c r="F186" s="10">
        <f>E186*$F$185</f>
        <v>556</v>
      </c>
      <c r="G186" s="10">
        <f>E186*$G$185</f>
        <v>570</v>
      </c>
      <c r="H186" s="10" t="s">
        <v>84</v>
      </c>
      <c r="I186" s="10"/>
      <c r="J186" s="10"/>
    </row>
    <row r="187" spans="1:10" x14ac:dyDescent="0.25">
      <c r="A187" s="87" t="s">
        <v>46</v>
      </c>
      <c r="B187" s="10"/>
      <c r="C187" s="10"/>
      <c r="D187" s="11" t="s">
        <v>98</v>
      </c>
      <c r="E187" s="10">
        <v>1</v>
      </c>
      <c r="F187" s="10">
        <f>E187*$F$185</f>
        <v>278</v>
      </c>
      <c r="G187" s="10">
        <f>E187*$G$185</f>
        <v>285</v>
      </c>
      <c r="H187" s="10" t="s">
        <v>84</v>
      </c>
      <c r="I187" s="10"/>
      <c r="J187" s="10"/>
    </row>
    <row r="188" spans="1:10" x14ac:dyDescent="0.25">
      <c r="A188" s="87" t="s">
        <v>47</v>
      </c>
      <c r="B188" s="26" t="s">
        <v>7</v>
      </c>
      <c r="C188" s="26">
        <v>3800038194</v>
      </c>
      <c r="D188" s="27" t="s">
        <v>63</v>
      </c>
      <c r="E188" s="26"/>
      <c r="F188" s="26">
        <v>27</v>
      </c>
      <c r="G188" s="26">
        <v>42</v>
      </c>
      <c r="H188" s="26" t="s">
        <v>14</v>
      </c>
      <c r="I188" s="26"/>
      <c r="J188" s="26"/>
    </row>
    <row r="189" spans="1:10" s="28" customFormat="1" x14ac:dyDescent="0.25">
      <c r="A189" s="87" t="s">
        <v>47</v>
      </c>
      <c r="B189" s="10"/>
      <c r="C189" s="10"/>
      <c r="D189" s="11" t="s">
        <v>98</v>
      </c>
      <c r="E189" s="10">
        <v>2</v>
      </c>
      <c r="F189" s="10">
        <f>E189*$F$188</f>
        <v>54</v>
      </c>
      <c r="G189" s="10">
        <f>E189*$G$188</f>
        <v>84</v>
      </c>
      <c r="H189" s="10" t="s">
        <v>84</v>
      </c>
      <c r="I189" s="10"/>
      <c r="J189" s="10"/>
    </row>
    <row r="190" spans="1:10" x14ac:dyDescent="0.25">
      <c r="A190" s="87" t="s">
        <v>47</v>
      </c>
      <c r="B190" s="10"/>
      <c r="C190" s="10"/>
      <c r="D190" s="11" t="s">
        <v>19</v>
      </c>
      <c r="E190" s="10">
        <v>4</v>
      </c>
      <c r="F190" s="10">
        <f>E190*$F$188</f>
        <v>108</v>
      </c>
      <c r="G190" s="10">
        <f>E190*$G$188</f>
        <v>168</v>
      </c>
      <c r="H190" s="10" t="s">
        <v>84</v>
      </c>
      <c r="I190" s="10"/>
      <c r="J190" s="10"/>
    </row>
    <row r="191" spans="1:10" x14ac:dyDescent="0.25">
      <c r="A191" s="87" t="s">
        <v>47</v>
      </c>
      <c r="B191" s="26" t="s">
        <v>7</v>
      </c>
      <c r="C191" s="26">
        <v>3000131665</v>
      </c>
      <c r="D191" s="27" t="s">
        <v>71</v>
      </c>
      <c r="E191" s="26"/>
      <c r="F191" s="26">
        <v>242</v>
      </c>
      <c r="G191" s="26">
        <v>376</v>
      </c>
      <c r="H191" s="26" t="s">
        <v>84</v>
      </c>
      <c r="I191" s="26"/>
      <c r="J191" s="26"/>
    </row>
    <row r="192" spans="1:10" x14ac:dyDescent="0.25">
      <c r="A192" s="87" t="s">
        <v>47</v>
      </c>
      <c r="B192" s="26"/>
      <c r="C192" s="10">
        <v>2000121988</v>
      </c>
      <c r="D192" s="11" t="s">
        <v>579</v>
      </c>
      <c r="E192" s="10">
        <v>2</v>
      </c>
      <c r="F192" s="10">
        <f>E192*$F$191</f>
        <v>484</v>
      </c>
      <c r="G192" s="10">
        <f>E192*$G$191</f>
        <v>752</v>
      </c>
      <c r="H192" s="10" t="s">
        <v>84</v>
      </c>
      <c r="I192" s="26"/>
      <c r="J192" s="26"/>
    </row>
    <row r="193" spans="1:10" x14ac:dyDescent="0.25">
      <c r="A193" s="87" t="s">
        <v>47</v>
      </c>
      <c r="B193" s="26"/>
      <c r="C193" s="10">
        <v>2800028913</v>
      </c>
      <c r="D193" s="11" t="s">
        <v>469</v>
      </c>
      <c r="E193" s="10">
        <v>20</v>
      </c>
      <c r="F193" s="10">
        <f>E193*$F$191/1000</f>
        <v>4.84</v>
      </c>
      <c r="G193" s="10">
        <f>E193*$G$191/1000</f>
        <v>7.52</v>
      </c>
      <c r="H193" s="10" t="s">
        <v>13</v>
      </c>
      <c r="I193" s="26"/>
      <c r="J193" s="26"/>
    </row>
    <row r="194" spans="1:10" x14ac:dyDescent="0.25">
      <c r="A194" s="87" t="s">
        <v>47</v>
      </c>
      <c r="B194" s="10"/>
      <c r="C194" s="10">
        <v>2000020042</v>
      </c>
      <c r="D194" s="11" t="s">
        <v>470</v>
      </c>
      <c r="E194" s="10">
        <v>5</v>
      </c>
      <c r="F194" s="10">
        <f t="shared" ref="F194:F195" si="36">E194*$F$191/1000</f>
        <v>1.21</v>
      </c>
      <c r="G194" s="10">
        <f t="shared" ref="G194:G195" si="37">E194*$G$191/1000</f>
        <v>1.88</v>
      </c>
      <c r="H194" s="10" t="s">
        <v>13</v>
      </c>
      <c r="I194" s="10"/>
      <c r="J194" s="10"/>
    </row>
    <row r="195" spans="1:10" x14ac:dyDescent="0.25">
      <c r="A195" s="87" t="s">
        <v>47</v>
      </c>
      <c r="B195" s="10"/>
      <c r="C195" s="10">
        <v>2000020126</v>
      </c>
      <c r="D195" s="11" t="s">
        <v>73</v>
      </c>
      <c r="E195" s="10">
        <v>10</v>
      </c>
      <c r="F195" s="10">
        <f t="shared" si="36"/>
        <v>2.42</v>
      </c>
      <c r="G195" s="10">
        <f t="shared" si="37"/>
        <v>3.76</v>
      </c>
      <c r="H195" s="10" t="s">
        <v>13</v>
      </c>
      <c r="I195" s="10"/>
      <c r="J195" s="10"/>
    </row>
    <row r="196" spans="1:10" s="28" customFormat="1" x14ac:dyDescent="0.25">
      <c r="A196" s="87" t="s">
        <v>47</v>
      </c>
      <c r="B196" s="26" t="s">
        <v>7</v>
      </c>
      <c r="C196" s="26">
        <v>3900039040</v>
      </c>
      <c r="D196" s="27" t="s">
        <v>653</v>
      </c>
      <c r="E196" s="26"/>
      <c r="F196" s="26">
        <v>16</v>
      </c>
      <c r="G196" s="26">
        <v>16</v>
      </c>
      <c r="H196" s="26" t="s">
        <v>84</v>
      </c>
      <c r="I196" s="26"/>
      <c r="J196" s="26"/>
    </row>
    <row r="197" spans="1:10" x14ac:dyDescent="0.25">
      <c r="A197" s="87" t="s">
        <v>47</v>
      </c>
      <c r="B197" s="26"/>
      <c r="C197" s="10">
        <v>2100021488</v>
      </c>
      <c r="D197" s="11" t="s">
        <v>415</v>
      </c>
      <c r="E197" s="10">
        <v>2</v>
      </c>
      <c r="F197" s="10">
        <f>E197*$F$196</f>
        <v>32</v>
      </c>
      <c r="G197" s="10">
        <f>E197*$G$196</f>
        <v>32</v>
      </c>
      <c r="H197" s="10" t="s">
        <v>84</v>
      </c>
      <c r="I197" s="26"/>
      <c r="J197" s="26"/>
    </row>
    <row r="198" spans="1:10" x14ac:dyDescent="0.25">
      <c r="A198" s="87" t="s">
        <v>47</v>
      </c>
      <c r="B198" s="26"/>
      <c r="C198" s="10">
        <v>2800028096</v>
      </c>
      <c r="D198" s="11" t="s">
        <v>655</v>
      </c>
      <c r="E198" s="10">
        <v>25</v>
      </c>
      <c r="F198" s="10">
        <f t="shared" ref="F198:F199" si="38">E198*$F$196/1000</f>
        <v>0.4</v>
      </c>
      <c r="G198" s="10">
        <f>E198*$G$196/1000</f>
        <v>0.4</v>
      </c>
      <c r="H198" s="10" t="s">
        <v>13</v>
      </c>
      <c r="I198" s="26"/>
      <c r="J198" s="26"/>
    </row>
    <row r="199" spans="1:10" s="28" customFormat="1" x14ac:dyDescent="0.25">
      <c r="A199" s="87" t="s">
        <v>47</v>
      </c>
      <c r="B199" s="26"/>
      <c r="C199" s="10">
        <v>3900039039</v>
      </c>
      <c r="D199" s="11" t="s">
        <v>656</v>
      </c>
      <c r="E199" s="10">
        <v>20</v>
      </c>
      <c r="F199" s="10">
        <f t="shared" si="38"/>
        <v>0.32</v>
      </c>
      <c r="G199" s="10">
        <f t="shared" ref="G199" si="39">E199*$G$196/1000</f>
        <v>0.32</v>
      </c>
      <c r="H199" s="10" t="s">
        <v>13</v>
      </c>
      <c r="I199" s="26"/>
      <c r="J199" s="26"/>
    </row>
    <row r="200" spans="1:10" x14ac:dyDescent="0.25">
      <c r="A200" s="87" t="s">
        <v>47</v>
      </c>
      <c r="B200" s="26" t="s">
        <v>7</v>
      </c>
      <c r="C200" s="26">
        <v>3900039041</v>
      </c>
      <c r="D200" s="27" t="s">
        <v>654</v>
      </c>
      <c r="E200" s="26"/>
      <c r="F200" s="26">
        <v>8</v>
      </c>
      <c r="G200" s="26">
        <v>8</v>
      </c>
      <c r="H200" s="26" t="s">
        <v>84</v>
      </c>
      <c r="I200" s="26"/>
      <c r="J200" s="26"/>
    </row>
    <row r="201" spans="1:10" x14ac:dyDescent="0.25">
      <c r="A201" s="87" t="s">
        <v>47</v>
      </c>
      <c r="B201" s="26"/>
      <c r="C201" s="10">
        <v>3900039039</v>
      </c>
      <c r="D201" s="11" t="s">
        <v>656</v>
      </c>
      <c r="E201" s="10">
        <v>40</v>
      </c>
      <c r="F201" s="10">
        <f>E201*$F$200/1000</f>
        <v>0.32</v>
      </c>
      <c r="G201" s="10">
        <f>E201*$G$200/1000</f>
        <v>0.32</v>
      </c>
      <c r="H201" s="10" t="s">
        <v>13</v>
      </c>
      <c r="I201" s="26"/>
      <c r="J201" s="26"/>
    </row>
    <row r="202" spans="1:10" x14ac:dyDescent="0.25">
      <c r="A202" s="87" t="s">
        <v>47</v>
      </c>
      <c r="B202" s="26"/>
      <c r="C202" s="10">
        <v>2000020741</v>
      </c>
      <c r="D202" s="11" t="s">
        <v>657</v>
      </c>
      <c r="E202" s="10">
        <v>50</v>
      </c>
      <c r="F202" s="10">
        <f t="shared" ref="F202:F205" si="40">E202*$F$200/1000</f>
        <v>0.4</v>
      </c>
      <c r="G202" s="10">
        <f t="shared" ref="G202:G205" si="41">E202*$G$200/1000</f>
        <v>0.4</v>
      </c>
      <c r="H202" s="10" t="s">
        <v>13</v>
      </c>
      <c r="I202" s="26"/>
      <c r="J202" s="26"/>
    </row>
    <row r="203" spans="1:10" x14ac:dyDescent="0.25">
      <c r="A203" s="87" t="s">
        <v>47</v>
      </c>
      <c r="B203" s="26"/>
      <c r="C203" s="10">
        <v>3700037979</v>
      </c>
      <c r="D203" s="11" t="s">
        <v>658</v>
      </c>
      <c r="E203" s="10">
        <v>50</v>
      </c>
      <c r="F203" s="10">
        <f t="shared" si="40"/>
        <v>0.4</v>
      </c>
      <c r="G203" s="10">
        <f t="shared" si="41"/>
        <v>0.4</v>
      </c>
      <c r="H203" s="10" t="s">
        <v>13</v>
      </c>
      <c r="I203" s="26"/>
      <c r="J203" s="26"/>
    </row>
    <row r="204" spans="1:10" x14ac:dyDescent="0.25">
      <c r="A204" s="87" t="s">
        <v>47</v>
      </c>
      <c r="B204" s="26"/>
      <c r="C204" s="10">
        <v>3100031474</v>
      </c>
      <c r="D204" s="11" t="s">
        <v>659</v>
      </c>
      <c r="E204" s="10">
        <v>50</v>
      </c>
      <c r="F204" s="10">
        <f t="shared" si="40"/>
        <v>0.4</v>
      </c>
      <c r="G204" s="10">
        <f t="shared" si="41"/>
        <v>0.4</v>
      </c>
      <c r="H204" s="10" t="s">
        <v>13</v>
      </c>
      <c r="I204" s="26"/>
      <c r="J204" s="26"/>
    </row>
    <row r="205" spans="1:10" x14ac:dyDescent="0.25">
      <c r="A205" s="87" t="s">
        <v>47</v>
      </c>
      <c r="B205" s="26"/>
      <c r="C205" s="10">
        <v>2000020042</v>
      </c>
      <c r="D205" s="11" t="s">
        <v>470</v>
      </c>
      <c r="E205" s="10">
        <v>20</v>
      </c>
      <c r="F205" s="10">
        <f t="shared" si="40"/>
        <v>0.16</v>
      </c>
      <c r="G205" s="10">
        <f t="shared" si="41"/>
        <v>0.16</v>
      </c>
      <c r="H205" s="10" t="s">
        <v>13</v>
      </c>
      <c r="I205" s="26"/>
      <c r="J205" s="26"/>
    </row>
    <row r="206" spans="1:10" s="28" customFormat="1" x14ac:dyDescent="0.25">
      <c r="A206" s="87" t="s">
        <v>48</v>
      </c>
      <c r="B206" s="26" t="s">
        <v>7</v>
      </c>
      <c r="C206" s="26">
        <v>4600042020</v>
      </c>
      <c r="D206" s="27" t="s">
        <v>481</v>
      </c>
      <c r="E206" s="26"/>
      <c r="F206" s="26">
        <v>13</v>
      </c>
      <c r="G206" s="26">
        <v>18</v>
      </c>
      <c r="H206" s="26" t="s">
        <v>14</v>
      </c>
      <c r="I206" s="26"/>
      <c r="J206" s="26"/>
    </row>
    <row r="207" spans="1:10" s="28" customFormat="1" x14ac:dyDescent="0.25">
      <c r="A207" s="87" t="s">
        <v>48</v>
      </c>
      <c r="B207" s="26" t="s">
        <v>7</v>
      </c>
      <c r="C207" s="26">
        <v>4600042069</v>
      </c>
      <c r="D207" s="27" t="s">
        <v>482</v>
      </c>
      <c r="E207" s="26"/>
      <c r="F207" s="26">
        <v>113</v>
      </c>
      <c r="G207" s="26">
        <v>122</v>
      </c>
      <c r="H207" s="26" t="s">
        <v>14</v>
      </c>
      <c r="I207" s="26"/>
      <c r="J207" s="26"/>
    </row>
    <row r="208" spans="1:10" s="28" customFormat="1" x14ac:dyDescent="0.25">
      <c r="A208" s="87" t="s">
        <v>48</v>
      </c>
      <c r="B208" s="26"/>
      <c r="C208" s="10">
        <v>3900040624</v>
      </c>
      <c r="D208" s="11" t="s">
        <v>483</v>
      </c>
      <c r="E208" s="10">
        <v>20</v>
      </c>
      <c r="F208" s="10">
        <f>SUM($F$206+$F$207)*E208/1000</f>
        <v>2.52</v>
      </c>
      <c r="G208" s="10">
        <f>SUM($G$206+$G$207)*E208/1000</f>
        <v>2.8</v>
      </c>
      <c r="H208" s="26" t="s">
        <v>13</v>
      </c>
      <c r="I208" s="26"/>
      <c r="J208" s="26"/>
    </row>
    <row r="209" spans="1:10" x14ac:dyDescent="0.25">
      <c r="A209" s="87" t="s">
        <v>48</v>
      </c>
      <c r="B209" s="26"/>
      <c r="C209" s="10">
        <v>2000121948</v>
      </c>
      <c r="D209" s="11" t="s">
        <v>362</v>
      </c>
      <c r="E209" s="10">
        <v>15</v>
      </c>
      <c r="F209" s="10">
        <f t="shared" ref="F209:F210" si="42">SUM($F$206+$F$207)*E209/1000</f>
        <v>1.89</v>
      </c>
      <c r="G209" s="10">
        <f t="shared" ref="G209:G210" si="43">SUM($G$206+$G$207)*E209/1000</f>
        <v>2.1</v>
      </c>
      <c r="H209" s="26" t="s">
        <v>13</v>
      </c>
      <c r="I209" s="26"/>
      <c r="J209" s="26"/>
    </row>
    <row r="210" spans="1:10" x14ac:dyDescent="0.25">
      <c r="A210" s="87" t="s">
        <v>48</v>
      </c>
      <c r="B210" s="26"/>
      <c r="C210" s="10">
        <v>2500025709</v>
      </c>
      <c r="D210" s="11" t="s">
        <v>484</v>
      </c>
      <c r="E210" s="10">
        <v>40</v>
      </c>
      <c r="F210" s="10">
        <f t="shared" si="42"/>
        <v>5.04</v>
      </c>
      <c r="G210" s="10">
        <f t="shared" si="43"/>
        <v>5.6</v>
      </c>
      <c r="H210" s="26" t="s">
        <v>13</v>
      </c>
      <c r="I210" s="26"/>
      <c r="J210" s="26"/>
    </row>
    <row r="211" spans="1:10" x14ac:dyDescent="0.25">
      <c r="A211" s="87" t="s">
        <v>48</v>
      </c>
      <c r="B211" s="26" t="s">
        <v>12</v>
      </c>
      <c r="C211" s="26">
        <v>4600042158</v>
      </c>
      <c r="D211" s="27" t="s">
        <v>490</v>
      </c>
      <c r="E211" s="26"/>
      <c r="F211" s="157">
        <v>7</v>
      </c>
      <c r="G211" s="157">
        <v>9</v>
      </c>
      <c r="H211" s="26" t="s">
        <v>84</v>
      </c>
      <c r="I211" s="10"/>
      <c r="J211" s="10"/>
    </row>
    <row r="212" spans="1:10" x14ac:dyDescent="0.25">
      <c r="A212" s="87" t="s">
        <v>48</v>
      </c>
      <c r="B212" s="26" t="s">
        <v>12</v>
      </c>
      <c r="C212" s="26">
        <v>4600047060</v>
      </c>
      <c r="D212" s="27" t="s">
        <v>485</v>
      </c>
      <c r="E212" s="26"/>
      <c r="F212" s="26">
        <v>1</v>
      </c>
      <c r="G212" s="26">
        <v>1</v>
      </c>
      <c r="H212" s="26" t="s">
        <v>84</v>
      </c>
      <c r="I212" s="10"/>
      <c r="J212" s="10"/>
    </row>
    <row r="213" spans="1:10" x14ac:dyDescent="0.25">
      <c r="A213" s="87" t="s">
        <v>48</v>
      </c>
      <c r="B213" s="26" t="s">
        <v>12</v>
      </c>
      <c r="C213" s="26">
        <v>4600047061</v>
      </c>
      <c r="D213" s="27" t="s">
        <v>489</v>
      </c>
      <c r="E213" s="10"/>
      <c r="F213" s="26">
        <v>3</v>
      </c>
      <c r="G213" s="26">
        <v>5</v>
      </c>
      <c r="H213" s="26" t="s">
        <v>84</v>
      </c>
      <c r="I213" s="10"/>
      <c r="J213" s="10"/>
    </row>
    <row r="214" spans="1:10" x14ac:dyDescent="0.25">
      <c r="A214" s="87" t="s">
        <v>48</v>
      </c>
      <c r="B214" s="10"/>
      <c r="C214" s="10">
        <v>2000121948</v>
      </c>
      <c r="D214" s="11" t="s">
        <v>362</v>
      </c>
      <c r="E214" s="10">
        <v>25</v>
      </c>
      <c r="F214" s="10">
        <f>($F$211+$F$212+$F$213)*E214/1000</f>
        <v>0.27500000000000002</v>
      </c>
      <c r="G214" s="10">
        <f>($G$211+$G$212+$G$213)*E214/1000</f>
        <v>0.375</v>
      </c>
      <c r="H214" s="26" t="s">
        <v>13</v>
      </c>
      <c r="I214" s="10"/>
      <c r="J214" s="10"/>
    </row>
    <row r="215" spans="1:10" x14ac:dyDescent="0.25">
      <c r="A215" s="87" t="s">
        <v>48</v>
      </c>
      <c r="B215" s="10"/>
      <c r="C215" s="10">
        <v>3900040624</v>
      </c>
      <c r="D215" s="11" t="s">
        <v>483</v>
      </c>
      <c r="E215" s="10">
        <v>25</v>
      </c>
      <c r="F215" s="10">
        <f>($F$211+$F$212+$F$213)*E215/1000</f>
        <v>0.27500000000000002</v>
      </c>
      <c r="G215" s="10">
        <f>($G$211+$G$212+$G$213)*E215/1000</f>
        <v>0.375</v>
      </c>
      <c r="H215" s="26" t="s">
        <v>13</v>
      </c>
      <c r="I215" s="10"/>
      <c r="J215" s="10"/>
    </row>
    <row r="216" spans="1:10" x14ac:dyDescent="0.25">
      <c r="A216" s="87" t="s">
        <v>48</v>
      </c>
      <c r="B216" s="10"/>
      <c r="C216" s="10">
        <v>3000133624</v>
      </c>
      <c r="D216" s="11" t="s">
        <v>486</v>
      </c>
      <c r="E216" s="10">
        <v>5</v>
      </c>
      <c r="F216" s="10">
        <f>($F$211+$F$212+$F$213)*E216</f>
        <v>55</v>
      </c>
      <c r="G216" s="10">
        <f>($G$211+$G$212+$G$213)*E216</f>
        <v>75</v>
      </c>
      <c r="H216" s="26" t="s">
        <v>84</v>
      </c>
      <c r="I216" s="10"/>
      <c r="J216" s="10"/>
    </row>
    <row r="217" spans="1:10" x14ac:dyDescent="0.25">
      <c r="A217" s="87" t="s">
        <v>48</v>
      </c>
      <c r="B217" s="10"/>
      <c r="C217" s="10">
        <v>2400024731</v>
      </c>
      <c r="D217" s="11" t="s">
        <v>487</v>
      </c>
      <c r="E217" s="10">
        <v>20</v>
      </c>
      <c r="F217" s="10">
        <f>($F$211+$F$212+$F$213)*E217/1000</f>
        <v>0.22</v>
      </c>
      <c r="G217" s="10">
        <f>($G$211+$G$212+$G$213)*E217/1000</f>
        <v>0.3</v>
      </c>
      <c r="H217" s="26" t="s">
        <v>13</v>
      </c>
      <c r="I217" s="10"/>
      <c r="J217" s="10"/>
    </row>
    <row r="218" spans="1:10" x14ac:dyDescent="0.25">
      <c r="A218" s="87" t="s">
        <v>48</v>
      </c>
      <c r="B218" s="10"/>
      <c r="C218" s="10">
        <v>2100021662</v>
      </c>
      <c r="D218" s="11" t="s">
        <v>488</v>
      </c>
      <c r="E218" s="10">
        <v>2</v>
      </c>
      <c r="F218" s="10">
        <f>($F$211+$F$212+$F$213)*E218</f>
        <v>22</v>
      </c>
      <c r="G218" s="10">
        <f>($G$211+$G$212+$G$213)*E218</f>
        <v>30</v>
      </c>
      <c r="H218" s="26" t="s">
        <v>84</v>
      </c>
      <c r="I218" s="10"/>
      <c r="J218" s="10"/>
    </row>
    <row r="219" spans="1:10" x14ac:dyDescent="0.25">
      <c r="A219" s="285" t="s">
        <v>133</v>
      </c>
      <c r="B219" s="286"/>
      <c r="C219" s="286"/>
      <c r="D219" s="286"/>
      <c r="E219" s="286"/>
      <c r="F219" s="286"/>
      <c r="G219" s="286"/>
      <c r="H219" s="286"/>
      <c r="I219" s="286"/>
      <c r="J219" s="287"/>
    </row>
    <row r="220" spans="1:10" x14ac:dyDescent="0.25">
      <c r="A220" s="87" t="s">
        <v>46</v>
      </c>
      <c r="B220" s="26" t="s">
        <v>56</v>
      </c>
      <c r="C220" s="26">
        <v>2300023154</v>
      </c>
      <c r="D220" s="27" t="s">
        <v>134</v>
      </c>
      <c r="E220" s="26"/>
      <c r="F220" s="40">
        <v>5.2</v>
      </c>
      <c r="G220" s="40">
        <v>5.665</v>
      </c>
      <c r="H220" s="26" t="s">
        <v>13</v>
      </c>
      <c r="I220" s="10"/>
      <c r="J220" s="10"/>
    </row>
  </sheetData>
  <autoFilter ref="A2:J220" xr:uid="{E0CE2483-7E8F-4411-A975-DFFACAD52D3F}">
    <sortState xmlns:xlrd2="http://schemas.microsoft.com/office/spreadsheetml/2017/richdata2" ref="A3:J220">
      <sortCondition ref="C2:C210"/>
    </sortState>
  </autoFilter>
  <mergeCells count="7">
    <mergeCell ref="A1:C1"/>
    <mergeCell ref="F1:H1"/>
    <mergeCell ref="A219:J219"/>
    <mergeCell ref="A3:J3"/>
    <mergeCell ref="A10:J10"/>
    <mergeCell ref="I33:J33"/>
    <mergeCell ref="I179:J181"/>
  </mergeCells>
  <phoneticPr fontId="48" type="noConversion"/>
  <conditionalFormatting sqref="F4:H9 F11:H24 F26:H30 G31:H33 H33:H36 F60:H116 F167:F172 G168:H172 H211:H213 H220">
    <cfRule type="expression" dxfId="27" priority="23">
      <formula>"if+$P$2&gt;0"</formula>
    </cfRule>
  </conditionalFormatting>
  <conditionalFormatting sqref="F163:H167">
    <cfRule type="expression" dxfId="26" priority="6">
      <formula>"if+$P$2&gt;0"</formula>
    </cfRule>
  </conditionalFormatting>
  <conditionalFormatting sqref="G157">
    <cfRule type="expression" dxfId="25" priority="13">
      <formula>"if+$P$2&gt;0"</formula>
    </cfRule>
  </conditionalFormatting>
  <conditionalFormatting sqref="G159:G160">
    <cfRule type="expression" dxfId="24" priority="12">
      <formula>"if+$P$2&gt;0"</formula>
    </cfRule>
  </conditionalFormatting>
  <conditionalFormatting sqref="H25">
    <cfRule type="expression" dxfId="23" priority="22">
      <formula>"if+$P$2&gt;0"</formula>
    </cfRule>
  </conditionalFormatting>
  <conditionalFormatting sqref="H56:H59">
    <cfRule type="expression" dxfId="22" priority="1">
      <formula>"if+$P$2&gt;0"</formula>
    </cfRule>
  </conditionalFormatting>
  <conditionalFormatting sqref="H117:H145 F118:G132 F146:H151 F152:F162 H152:H162 F173:H205">
    <cfRule type="expression" dxfId="21" priority="5">
      <formula>"if+$P$2&gt;0"</formula>
    </cfRule>
  </conditionalFormatting>
  <conditionalFormatting sqref="H216">
    <cfRule type="expression" dxfId="20" priority="8">
      <formula>"if+$P$2&gt;0"</formula>
    </cfRule>
  </conditionalFormatting>
  <conditionalFormatting sqref="H218">
    <cfRule type="expression" dxfId="19" priority="9">
      <formula>"if+$P$2&gt;0"</formula>
    </cfRule>
  </conditionalFormatting>
  <pageMargins left="0.23622047244094491" right="0.23622047244094491" top="0.74803149606299213" bottom="0.74803149606299213" header="0.31496062992125984" footer="0.31496062992125984"/>
  <pageSetup paperSize="8" scale="36" fitToHeight="0" orientation="portrait" r:id="rId1"/>
  <rowBreaks count="2" manualBreakCount="2">
    <brk id="77" max="9" man="1"/>
    <brk id="155" max="9" man="1"/>
  </rowBreaks>
  <drawing r:id="rId2"/>
  <legacyDrawing r:id="rId3"/>
  <controls>
    <mc:AlternateContent xmlns:mc="http://schemas.openxmlformats.org/markup-compatibility/2006">
      <mc:Choice Requires="x14">
        <control shapeId="29697" r:id="rId4" name="Control 1">
          <controlPr defaultSize="0" r:id="rId5">
            <anchor moveWithCells="1">
              <from>
                <xdr:col>5</xdr:col>
                <xdr:colOff>30480</xdr:colOff>
                <xdr:row>1</xdr:row>
                <xdr:rowOff>0</xdr:rowOff>
              </from>
              <to>
                <xdr:col>5</xdr:col>
                <xdr:colOff>175260</xdr:colOff>
                <xdr:row>1</xdr:row>
                <xdr:rowOff>83820</xdr:rowOff>
              </to>
            </anchor>
          </controlPr>
        </control>
      </mc:Choice>
      <mc:Fallback>
        <control shapeId="29697" r:id="rId4" name="Control 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B10E6-37DB-4642-A372-3EBD21FAEB74}">
  <sheetPr codeName="Sheet11">
    <pageSetUpPr fitToPage="1"/>
  </sheetPr>
  <dimension ref="A1:AG101"/>
  <sheetViews>
    <sheetView view="pageBreakPreview" zoomScale="25" zoomScaleNormal="40" zoomScaleSheetLayoutView="25" workbookViewId="0">
      <pane ySplit="3" topLeftCell="A4" activePane="bottomLeft" state="frozen"/>
      <selection activeCell="D160" sqref="D160"/>
      <selection pane="bottomLeft" activeCell="F74" sqref="F74"/>
    </sheetView>
  </sheetViews>
  <sheetFormatPr defaultColWidth="9.109375" defaultRowHeight="54.6" x14ac:dyDescent="0.9"/>
  <cols>
    <col min="1" max="1" width="36.109375" style="125" customWidth="1"/>
    <col min="2" max="2" width="31.5546875" style="126" customWidth="1"/>
    <col min="3" max="3" width="32.109375" style="124" customWidth="1"/>
    <col min="4" max="4" width="24.6640625" style="136" customWidth="1"/>
    <col min="5" max="5" width="51.5546875" style="136" bestFit="1" customWidth="1"/>
    <col min="6" max="6" width="246.44140625" style="124" bestFit="1" customWidth="1"/>
    <col min="7" max="7" width="36.109375" style="126" hidden="1" customWidth="1"/>
    <col min="8" max="8" width="55.5546875" style="126" bestFit="1" customWidth="1"/>
    <col min="9" max="9" width="33.88671875" style="126" customWidth="1"/>
    <col min="10" max="10" width="28.109375" style="126" customWidth="1"/>
    <col min="11" max="11" width="52.6640625" style="124" bestFit="1" customWidth="1"/>
    <col min="12" max="12" width="65.88671875" style="124" bestFit="1" customWidth="1"/>
    <col min="13" max="16384" width="9.109375" style="124"/>
  </cols>
  <sheetData>
    <row r="1" spans="1:33" s="56" customFormat="1" ht="46.5" customHeight="1" x14ac:dyDescent="1">
      <c r="A1" s="131"/>
      <c r="B1" s="131"/>
      <c r="C1" s="307" t="s">
        <v>677</v>
      </c>
      <c r="D1" s="308"/>
      <c r="E1" s="309"/>
      <c r="F1" s="313" t="s">
        <v>268</v>
      </c>
      <c r="G1" s="301">
        <f ca="1">TODAY()+1</f>
        <v>46175</v>
      </c>
      <c r="H1" s="302"/>
      <c r="I1" s="303"/>
      <c r="J1" s="317" t="s">
        <v>16</v>
      </c>
      <c r="K1" s="318"/>
      <c r="L1" s="172">
        <f ca="1">TODAY()+1</f>
        <v>46175</v>
      </c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</row>
    <row r="2" spans="1:33" s="56" customFormat="1" ht="61.8" x14ac:dyDescent="1">
      <c r="A2" s="54"/>
      <c r="B2" s="132"/>
      <c r="C2" s="310"/>
      <c r="D2" s="311"/>
      <c r="E2" s="312"/>
      <c r="F2" s="314"/>
      <c r="G2" s="304"/>
      <c r="H2" s="305"/>
      <c r="I2" s="306"/>
      <c r="J2" s="317" t="s">
        <v>17</v>
      </c>
      <c r="K2" s="318"/>
      <c r="L2" s="172">
        <f ca="1">TODAY()+2</f>
        <v>46176</v>
      </c>
    </row>
    <row r="3" spans="1:33" s="56" customFormat="1" ht="60" x14ac:dyDescent="1">
      <c r="A3" s="107" t="s">
        <v>844</v>
      </c>
      <c r="B3" s="133" t="s">
        <v>72</v>
      </c>
      <c r="C3" s="79" t="s">
        <v>0</v>
      </c>
      <c r="D3" s="79" t="s">
        <v>28</v>
      </c>
      <c r="E3" s="79" t="s">
        <v>1</v>
      </c>
      <c r="F3" s="79" t="s">
        <v>2</v>
      </c>
      <c r="G3" s="79" t="s">
        <v>131</v>
      </c>
      <c r="H3" s="79" t="s">
        <v>18</v>
      </c>
      <c r="I3" s="79" t="s">
        <v>24</v>
      </c>
      <c r="J3" s="79" t="s">
        <v>30</v>
      </c>
      <c r="K3" s="79" t="s">
        <v>68</v>
      </c>
      <c r="L3" s="79" t="s">
        <v>15</v>
      </c>
    </row>
    <row r="4" spans="1:33" s="56" customFormat="1" ht="60" x14ac:dyDescent="1">
      <c r="A4" s="107"/>
      <c r="B4" s="109"/>
      <c r="C4" s="320" t="s">
        <v>595</v>
      </c>
      <c r="D4" s="321"/>
      <c r="E4" s="321"/>
      <c r="F4" s="321"/>
      <c r="G4" s="321"/>
      <c r="H4" s="321"/>
      <c r="I4" s="321"/>
      <c r="J4" s="321"/>
      <c r="K4" s="321"/>
      <c r="L4" s="322"/>
    </row>
    <row r="5" spans="1:33" s="56" customFormat="1" ht="60" x14ac:dyDescent="1">
      <c r="A5" s="107"/>
      <c r="B5" s="224"/>
      <c r="C5" s="194" t="s">
        <v>62</v>
      </c>
      <c r="D5" s="174"/>
      <c r="E5" s="174">
        <v>2300023256</v>
      </c>
      <c r="F5" s="190" t="s">
        <v>152</v>
      </c>
      <c r="G5" s="174"/>
      <c r="H5" s="174">
        <v>120</v>
      </c>
      <c r="I5" s="174">
        <v>120</v>
      </c>
      <c r="J5" s="62" t="s">
        <v>14</v>
      </c>
      <c r="K5" s="225"/>
      <c r="L5" s="66"/>
    </row>
    <row r="6" spans="1:33" s="56" customFormat="1" ht="109.2" x14ac:dyDescent="1">
      <c r="A6" s="55" t="s">
        <v>231</v>
      </c>
      <c r="B6" s="130">
        <v>1</v>
      </c>
      <c r="C6" s="194" t="s">
        <v>49</v>
      </c>
      <c r="D6" s="174" t="s">
        <v>31</v>
      </c>
      <c r="E6" s="174">
        <v>3600036267</v>
      </c>
      <c r="F6" s="175" t="s">
        <v>599</v>
      </c>
      <c r="G6" s="174"/>
      <c r="H6" s="176">
        <v>35</v>
      </c>
      <c r="I6" s="176">
        <v>36</v>
      </c>
      <c r="J6" s="62" t="s">
        <v>84</v>
      </c>
      <c r="K6" s="151"/>
      <c r="L6" s="66"/>
    </row>
    <row r="7" spans="1:33" s="56" customFormat="1" ht="49.5" customHeight="1" x14ac:dyDescent="1">
      <c r="A7" s="55" t="s">
        <v>230</v>
      </c>
      <c r="B7" s="130">
        <v>1</v>
      </c>
      <c r="C7" s="194" t="s">
        <v>49</v>
      </c>
      <c r="D7" s="62" t="s">
        <v>7</v>
      </c>
      <c r="E7" s="62" t="s">
        <v>467</v>
      </c>
      <c r="F7" s="71" t="s">
        <v>468</v>
      </c>
      <c r="G7" s="63"/>
      <c r="H7" s="165">
        <v>12</v>
      </c>
      <c r="I7" s="64">
        <v>12</v>
      </c>
      <c r="J7" s="62" t="s">
        <v>84</v>
      </c>
      <c r="K7" s="62"/>
      <c r="L7" s="62"/>
    </row>
    <row r="8" spans="1:33" s="56" customFormat="1" ht="60" x14ac:dyDescent="1">
      <c r="A8" s="55" t="s">
        <v>230</v>
      </c>
      <c r="B8" s="130"/>
      <c r="C8" s="194" t="s">
        <v>49</v>
      </c>
      <c r="D8" s="174"/>
      <c r="E8" s="174">
        <v>2300023256</v>
      </c>
      <c r="F8" s="177" t="s">
        <v>152</v>
      </c>
      <c r="G8" s="174">
        <v>2</v>
      </c>
      <c r="H8" s="178">
        <f>G8*$H$7</f>
        <v>24</v>
      </c>
      <c r="I8" s="178">
        <f>G8*$I$7</f>
        <v>24</v>
      </c>
      <c r="J8" s="62" t="s">
        <v>84</v>
      </c>
      <c r="K8" s="62"/>
      <c r="L8" s="62"/>
    </row>
    <row r="9" spans="1:33" s="56" customFormat="1" ht="49.5" customHeight="1" x14ac:dyDescent="1">
      <c r="A9" s="55" t="s">
        <v>230</v>
      </c>
      <c r="B9" s="130">
        <v>1</v>
      </c>
      <c r="C9" s="194" t="s">
        <v>36</v>
      </c>
      <c r="D9" s="62" t="s">
        <v>7</v>
      </c>
      <c r="E9" s="62">
        <v>3900042862</v>
      </c>
      <c r="F9" s="71" t="s">
        <v>848</v>
      </c>
      <c r="G9" s="62"/>
      <c r="H9" s="166">
        <v>10</v>
      </c>
      <c r="I9" s="166">
        <v>12</v>
      </c>
      <c r="J9" s="62" t="s">
        <v>84</v>
      </c>
      <c r="K9" s="62"/>
      <c r="L9" s="62"/>
    </row>
    <row r="10" spans="1:33" s="56" customFormat="1" ht="60" x14ac:dyDescent="1">
      <c r="A10" s="55" t="s">
        <v>230</v>
      </c>
      <c r="B10" s="130"/>
      <c r="C10" s="194" t="s">
        <v>36</v>
      </c>
      <c r="D10" s="174"/>
      <c r="E10" s="174">
        <v>2300023256</v>
      </c>
      <c r="F10" s="177" t="s">
        <v>152</v>
      </c>
      <c r="G10" s="174">
        <v>6</v>
      </c>
      <c r="H10" s="178">
        <f>($G$10*$H$9)</f>
        <v>60</v>
      </c>
      <c r="I10" s="178">
        <f>($G$10*$I$9)</f>
        <v>72</v>
      </c>
      <c r="J10" s="62" t="s">
        <v>14</v>
      </c>
      <c r="K10" s="62"/>
      <c r="L10" s="62"/>
    </row>
    <row r="11" spans="1:33" s="56" customFormat="1" ht="60" x14ac:dyDescent="1">
      <c r="A11" s="223" t="s">
        <v>603</v>
      </c>
      <c r="B11" s="130">
        <v>1</v>
      </c>
      <c r="C11" s="194" t="s">
        <v>36</v>
      </c>
      <c r="D11" s="174" t="s">
        <v>9</v>
      </c>
      <c r="E11" s="174">
        <v>3900042630</v>
      </c>
      <c r="F11" s="177" t="s">
        <v>623</v>
      </c>
      <c r="G11" s="174"/>
      <c r="H11" s="178">
        <v>37</v>
      </c>
      <c r="I11" s="178">
        <v>39</v>
      </c>
      <c r="J11" s="62" t="s">
        <v>14</v>
      </c>
      <c r="K11" s="62"/>
      <c r="L11" s="62"/>
    </row>
    <row r="12" spans="1:33" s="56" customFormat="1" ht="60" x14ac:dyDescent="1">
      <c r="A12" s="55" t="s">
        <v>230</v>
      </c>
      <c r="B12" s="130">
        <v>1</v>
      </c>
      <c r="C12" s="194" t="s">
        <v>37</v>
      </c>
      <c r="D12" s="62" t="s">
        <v>7</v>
      </c>
      <c r="E12" s="62">
        <v>3900040152</v>
      </c>
      <c r="F12" s="71" t="s">
        <v>632</v>
      </c>
      <c r="G12" s="62"/>
      <c r="H12" s="166">
        <v>1</v>
      </c>
      <c r="I12" s="166">
        <v>1</v>
      </c>
      <c r="J12" s="62" t="s">
        <v>26</v>
      </c>
      <c r="K12" s="62"/>
      <c r="L12" s="62"/>
    </row>
    <row r="13" spans="1:33" s="56" customFormat="1" ht="60" x14ac:dyDescent="1">
      <c r="A13" s="55" t="s">
        <v>230</v>
      </c>
      <c r="B13" s="130"/>
      <c r="C13" s="194" t="s">
        <v>37</v>
      </c>
      <c r="D13" s="174"/>
      <c r="E13" s="174">
        <v>2300023773</v>
      </c>
      <c r="F13" s="177" t="s">
        <v>634</v>
      </c>
      <c r="G13" s="174">
        <v>30</v>
      </c>
      <c r="H13" s="178">
        <f>G13*H12/1000</f>
        <v>0.03</v>
      </c>
      <c r="I13" s="178">
        <f>G13*I12/1000</f>
        <v>0.03</v>
      </c>
      <c r="J13" s="62" t="s">
        <v>13</v>
      </c>
      <c r="K13" s="62"/>
      <c r="L13" s="62"/>
    </row>
    <row r="14" spans="1:33" s="56" customFormat="1" ht="49.5" customHeight="1" x14ac:dyDescent="1">
      <c r="A14" s="55" t="s">
        <v>230</v>
      </c>
      <c r="B14" s="130">
        <v>1</v>
      </c>
      <c r="C14" s="194" t="s">
        <v>37</v>
      </c>
      <c r="D14" s="62" t="s">
        <v>7</v>
      </c>
      <c r="E14" s="62">
        <v>3900042483</v>
      </c>
      <c r="F14" s="71" t="s">
        <v>628</v>
      </c>
      <c r="G14" s="63"/>
      <c r="H14" s="165">
        <v>9</v>
      </c>
      <c r="I14" s="64">
        <v>9</v>
      </c>
      <c r="J14" s="62" t="s">
        <v>84</v>
      </c>
      <c r="K14" s="62"/>
      <c r="L14" s="62"/>
    </row>
    <row r="15" spans="1:33" s="56" customFormat="1" ht="60" x14ac:dyDescent="1">
      <c r="A15" s="55" t="s">
        <v>230</v>
      </c>
      <c r="B15" s="130"/>
      <c r="C15" s="194" t="s">
        <v>37</v>
      </c>
      <c r="D15" s="174"/>
      <c r="E15" s="174">
        <v>2300023256</v>
      </c>
      <c r="F15" s="177" t="s">
        <v>152</v>
      </c>
      <c r="G15" s="174">
        <v>5</v>
      </c>
      <c r="H15" s="178">
        <f>G15*$H$14</f>
        <v>45</v>
      </c>
      <c r="I15" s="178">
        <f>G15*$I$14</f>
        <v>45</v>
      </c>
      <c r="J15" s="62" t="s">
        <v>14</v>
      </c>
      <c r="K15" s="62"/>
      <c r="L15" s="62"/>
    </row>
    <row r="16" spans="1:33" s="56" customFormat="1" ht="49.5" customHeight="1" x14ac:dyDescent="1">
      <c r="A16" s="55" t="s">
        <v>230</v>
      </c>
      <c r="B16" s="134">
        <v>1</v>
      </c>
      <c r="C16" s="194" t="s">
        <v>424</v>
      </c>
      <c r="D16" s="153" t="s">
        <v>7</v>
      </c>
      <c r="E16" s="137">
        <v>3000131091</v>
      </c>
      <c r="F16" s="152" t="s">
        <v>492</v>
      </c>
      <c r="G16" s="62"/>
      <c r="H16" s="62">
        <v>15</v>
      </c>
      <c r="I16" s="62">
        <v>17</v>
      </c>
      <c r="J16" s="62" t="s">
        <v>26</v>
      </c>
      <c r="K16" s="62"/>
      <c r="L16" s="62"/>
    </row>
    <row r="17" spans="1:12" s="56" customFormat="1" ht="60" x14ac:dyDescent="1">
      <c r="A17" s="55" t="s">
        <v>230</v>
      </c>
      <c r="B17" s="134"/>
      <c r="C17" s="194" t="s">
        <v>424</v>
      </c>
      <c r="D17" s="179"/>
      <c r="E17" s="180">
        <v>2300023947</v>
      </c>
      <c r="F17" s="181" t="s">
        <v>104</v>
      </c>
      <c r="G17" s="174">
        <v>3</v>
      </c>
      <c r="H17" s="174">
        <f>G17*$H$16</f>
        <v>45</v>
      </c>
      <c r="I17" s="174">
        <f>$G$17*$I$16</f>
        <v>51</v>
      </c>
      <c r="J17" s="62" t="s">
        <v>14</v>
      </c>
      <c r="K17" s="62"/>
      <c r="L17" s="62"/>
    </row>
    <row r="18" spans="1:12" s="56" customFormat="1" ht="49.5" customHeight="1" x14ac:dyDescent="1">
      <c r="A18" s="55" t="s">
        <v>230</v>
      </c>
      <c r="B18" s="134">
        <v>2</v>
      </c>
      <c r="C18" s="194" t="s">
        <v>592</v>
      </c>
      <c r="D18" s="153" t="s">
        <v>7</v>
      </c>
      <c r="E18" s="153">
        <v>3000133110</v>
      </c>
      <c r="F18" s="167" t="s">
        <v>593</v>
      </c>
      <c r="G18" s="62"/>
      <c r="H18" s="62">
        <v>27</v>
      </c>
      <c r="I18" s="62">
        <v>30</v>
      </c>
      <c r="J18" s="62" t="s">
        <v>26</v>
      </c>
      <c r="K18" s="62"/>
      <c r="L18" s="62"/>
    </row>
    <row r="19" spans="1:12" s="56" customFormat="1" ht="60" x14ac:dyDescent="1">
      <c r="A19" s="55" t="s">
        <v>230</v>
      </c>
      <c r="B19" s="134"/>
      <c r="C19" s="194" t="s">
        <v>592</v>
      </c>
      <c r="D19" s="179"/>
      <c r="E19" s="180">
        <v>2300023947</v>
      </c>
      <c r="F19" s="181" t="s">
        <v>104</v>
      </c>
      <c r="G19" s="174">
        <v>4</v>
      </c>
      <c r="H19" s="174">
        <f>G19*H18</f>
        <v>108</v>
      </c>
      <c r="I19" s="174">
        <f>G19*I18</f>
        <v>120</v>
      </c>
      <c r="J19" s="62" t="s">
        <v>14</v>
      </c>
      <c r="K19" s="62"/>
      <c r="L19" s="62"/>
    </row>
    <row r="20" spans="1:12" s="56" customFormat="1" ht="49.5" customHeight="1" x14ac:dyDescent="1">
      <c r="A20" s="55" t="s">
        <v>230</v>
      </c>
      <c r="B20" s="134">
        <v>2</v>
      </c>
      <c r="C20" s="194" t="s">
        <v>48</v>
      </c>
      <c r="D20" s="65" t="s">
        <v>12</v>
      </c>
      <c r="E20" s="65">
        <v>4600042158</v>
      </c>
      <c r="F20" s="71" t="s">
        <v>495</v>
      </c>
      <c r="G20" s="70"/>
      <c r="H20" s="62">
        <v>7</v>
      </c>
      <c r="I20" s="62">
        <v>9</v>
      </c>
      <c r="J20" s="65" t="s">
        <v>84</v>
      </c>
      <c r="K20" s="62"/>
      <c r="L20" s="62"/>
    </row>
    <row r="21" spans="1:12" s="56" customFormat="1" ht="49.5" customHeight="1" x14ac:dyDescent="1">
      <c r="A21" s="55" t="s">
        <v>230</v>
      </c>
      <c r="B21" s="134">
        <v>0</v>
      </c>
      <c r="C21" s="194" t="s">
        <v>48</v>
      </c>
      <c r="D21" s="65" t="s">
        <v>12</v>
      </c>
      <c r="E21" s="65">
        <v>4600047060</v>
      </c>
      <c r="F21" s="71" t="s">
        <v>496</v>
      </c>
      <c r="G21" s="70"/>
      <c r="H21" s="62">
        <v>1</v>
      </c>
      <c r="I21" s="62">
        <v>1</v>
      </c>
      <c r="J21" s="65" t="s">
        <v>84</v>
      </c>
      <c r="K21" s="62"/>
      <c r="L21" s="62"/>
    </row>
    <row r="22" spans="1:12" s="56" customFormat="1" ht="49.5" customHeight="1" x14ac:dyDescent="1">
      <c r="A22" s="55" t="s">
        <v>230</v>
      </c>
      <c r="B22" s="134">
        <v>0</v>
      </c>
      <c r="C22" s="194" t="s">
        <v>48</v>
      </c>
      <c r="D22" s="65" t="s">
        <v>12</v>
      </c>
      <c r="E22" s="65">
        <v>4600047061</v>
      </c>
      <c r="F22" s="71" t="s">
        <v>497</v>
      </c>
      <c r="G22" s="70"/>
      <c r="H22" s="62">
        <v>3</v>
      </c>
      <c r="I22" s="62">
        <v>5</v>
      </c>
      <c r="J22" s="65" t="s">
        <v>84</v>
      </c>
      <c r="K22" s="62"/>
      <c r="L22" s="62"/>
    </row>
    <row r="23" spans="1:12" s="56" customFormat="1" ht="60" x14ac:dyDescent="1">
      <c r="A23" s="55" t="s">
        <v>230</v>
      </c>
      <c r="B23" s="134"/>
      <c r="C23" s="194" t="s">
        <v>48</v>
      </c>
      <c r="D23" s="174"/>
      <c r="E23" s="174">
        <v>3000133624</v>
      </c>
      <c r="F23" s="177" t="s">
        <v>486</v>
      </c>
      <c r="G23" s="182">
        <v>5</v>
      </c>
      <c r="H23" s="174">
        <f>G23*($H$20+$H$21+$H$22)</f>
        <v>55</v>
      </c>
      <c r="I23" s="174">
        <f>G23*($I$20+$I$21+$I$22)</f>
        <v>75</v>
      </c>
      <c r="J23" s="62" t="s">
        <v>14</v>
      </c>
      <c r="K23" s="62"/>
      <c r="L23" s="62"/>
    </row>
    <row r="24" spans="1:12" s="56" customFormat="1" ht="60" x14ac:dyDescent="1">
      <c r="A24" s="55"/>
      <c r="B24" s="134"/>
      <c r="C24" s="316" t="s">
        <v>596</v>
      </c>
      <c r="D24" s="316"/>
      <c r="E24" s="316"/>
      <c r="F24" s="316"/>
      <c r="G24" s="316"/>
      <c r="H24" s="316"/>
      <c r="I24" s="316"/>
      <c r="J24" s="316"/>
      <c r="K24" s="316"/>
      <c r="L24" s="316"/>
    </row>
    <row r="25" spans="1:12" s="56" customFormat="1" ht="171" customHeight="1" x14ac:dyDescent="1">
      <c r="A25" s="55" t="s">
        <v>230</v>
      </c>
      <c r="B25" s="134">
        <v>1</v>
      </c>
      <c r="C25" s="194" t="s">
        <v>23</v>
      </c>
      <c r="D25" s="174" t="s">
        <v>135</v>
      </c>
      <c r="E25" s="174">
        <v>2800028612</v>
      </c>
      <c r="F25" s="175" t="s">
        <v>598</v>
      </c>
      <c r="G25" s="168"/>
      <c r="H25" s="169" t="s">
        <v>261</v>
      </c>
      <c r="I25" s="183">
        <v>0.29599999999999999</v>
      </c>
      <c r="J25" s="62" t="s">
        <v>13</v>
      </c>
      <c r="K25" s="62"/>
      <c r="L25" s="62"/>
    </row>
    <row r="26" spans="1:12" s="56" customFormat="1" ht="52.5" customHeight="1" x14ac:dyDescent="1">
      <c r="A26" s="55" t="s">
        <v>230</v>
      </c>
      <c r="B26" s="134">
        <v>1</v>
      </c>
      <c r="C26" s="194" t="s">
        <v>23</v>
      </c>
      <c r="D26" s="62" t="s">
        <v>7</v>
      </c>
      <c r="E26" s="62">
        <v>3000132276</v>
      </c>
      <c r="F26" s="71" t="s">
        <v>96</v>
      </c>
      <c r="G26" s="63"/>
      <c r="H26" s="171">
        <v>0</v>
      </c>
      <c r="I26" s="153">
        <v>0</v>
      </c>
      <c r="J26" s="137" t="s">
        <v>26</v>
      </c>
      <c r="K26" s="315" t="s">
        <v>600</v>
      </c>
      <c r="L26" s="62"/>
    </row>
    <row r="27" spans="1:12" s="56" customFormat="1" ht="60" x14ac:dyDescent="1">
      <c r="A27" s="55"/>
      <c r="B27" s="134"/>
      <c r="C27" s="194" t="s">
        <v>23</v>
      </c>
      <c r="D27" s="174"/>
      <c r="E27" s="174">
        <v>2300023256</v>
      </c>
      <c r="F27" s="177" t="s">
        <v>152</v>
      </c>
      <c r="G27" s="174">
        <v>5</v>
      </c>
      <c r="H27" s="178">
        <f>G27*$H$26</f>
        <v>0</v>
      </c>
      <c r="I27" s="180">
        <f>G27*$I$26</f>
        <v>0</v>
      </c>
      <c r="J27" s="137" t="s">
        <v>14</v>
      </c>
      <c r="K27" s="315"/>
      <c r="L27" s="62"/>
    </row>
    <row r="28" spans="1:12" s="56" customFormat="1" ht="49.5" customHeight="1" x14ac:dyDescent="1">
      <c r="A28" s="55" t="s">
        <v>230</v>
      </c>
      <c r="B28" s="130">
        <v>4</v>
      </c>
      <c r="C28" s="194" t="s">
        <v>36</v>
      </c>
      <c r="D28" s="62" t="s">
        <v>7</v>
      </c>
      <c r="E28" s="62">
        <v>3900042539</v>
      </c>
      <c r="F28" s="71" t="s">
        <v>849</v>
      </c>
      <c r="G28" s="62"/>
      <c r="H28" s="166">
        <v>208</v>
      </c>
      <c r="I28" s="166">
        <v>260</v>
      </c>
      <c r="J28" s="62" t="s">
        <v>84</v>
      </c>
      <c r="K28" s="62"/>
      <c r="L28" s="62"/>
    </row>
    <row r="29" spans="1:12" s="56" customFormat="1" ht="60" x14ac:dyDescent="1">
      <c r="A29" s="55" t="s">
        <v>230</v>
      </c>
      <c r="B29" s="130"/>
      <c r="C29" s="194" t="s">
        <v>36</v>
      </c>
      <c r="D29" s="174"/>
      <c r="E29" s="174">
        <v>2300023256</v>
      </c>
      <c r="F29" s="177" t="s">
        <v>152</v>
      </c>
      <c r="G29" s="174">
        <v>2</v>
      </c>
      <c r="H29" s="178">
        <f>$G$29*$H$28</f>
        <v>416</v>
      </c>
      <c r="I29" s="178">
        <f>$G$29*$I$28</f>
        <v>520</v>
      </c>
      <c r="J29" s="62" t="s">
        <v>14</v>
      </c>
      <c r="K29" s="62"/>
      <c r="L29" s="62"/>
    </row>
    <row r="30" spans="1:12" s="56" customFormat="1" ht="52.5" customHeight="1" x14ac:dyDescent="1">
      <c r="A30" s="55" t="s">
        <v>230</v>
      </c>
      <c r="B30" s="135">
        <v>2</v>
      </c>
      <c r="C30" s="195" t="s">
        <v>4</v>
      </c>
      <c r="D30" s="156" t="s">
        <v>7</v>
      </c>
      <c r="E30" s="162">
        <v>3000132297</v>
      </c>
      <c r="F30" s="163" t="s">
        <v>582</v>
      </c>
      <c r="G30" s="103"/>
      <c r="H30" s="62">
        <v>167</v>
      </c>
      <c r="I30" s="62">
        <v>200</v>
      </c>
      <c r="J30" s="62" t="s">
        <v>26</v>
      </c>
      <c r="K30" s="68"/>
      <c r="L30" s="68"/>
    </row>
    <row r="31" spans="1:12" s="56" customFormat="1" ht="60" x14ac:dyDescent="1">
      <c r="A31" s="55" t="s">
        <v>230</v>
      </c>
      <c r="B31" s="135"/>
      <c r="C31" s="195" t="s">
        <v>4</v>
      </c>
      <c r="D31" s="177"/>
      <c r="E31" s="177">
        <v>2300023947</v>
      </c>
      <c r="F31" s="177" t="s">
        <v>104</v>
      </c>
      <c r="G31" s="177">
        <v>2</v>
      </c>
      <c r="H31" s="206">
        <f>$G$31*H30</f>
        <v>334</v>
      </c>
      <c r="I31" s="206">
        <f>$G$31*I30</f>
        <v>400</v>
      </c>
      <c r="J31" s="62" t="s">
        <v>14</v>
      </c>
      <c r="K31" s="68"/>
      <c r="L31" s="68"/>
    </row>
    <row r="32" spans="1:12" s="56" customFormat="1" ht="52.5" customHeight="1" x14ac:dyDescent="1">
      <c r="A32" s="55" t="s">
        <v>230</v>
      </c>
      <c r="B32" s="110">
        <v>0</v>
      </c>
      <c r="C32" s="195" t="s">
        <v>48</v>
      </c>
      <c r="D32" s="65" t="s">
        <v>7</v>
      </c>
      <c r="E32" s="65">
        <v>4600042020</v>
      </c>
      <c r="F32" s="71" t="s">
        <v>493</v>
      </c>
      <c r="G32" s="70"/>
      <c r="H32" s="62">
        <v>13</v>
      </c>
      <c r="I32" s="62">
        <v>18</v>
      </c>
      <c r="J32" s="62" t="s">
        <v>26</v>
      </c>
      <c r="K32" s="62"/>
      <c r="L32" s="62"/>
    </row>
    <row r="33" spans="1:12" s="56" customFormat="1" ht="52.5" customHeight="1" x14ac:dyDescent="1">
      <c r="A33" s="55" t="s">
        <v>230</v>
      </c>
      <c r="B33" s="110">
        <v>6</v>
      </c>
      <c r="C33" s="195" t="s">
        <v>48</v>
      </c>
      <c r="D33" s="65" t="s">
        <v>7</v>
      </c>
      <c r="E33" s="65">
        <v>4600042069</v>
      </c>
      <c r="F33" s="71" t="s">
        <v>494</v>
      </c>
      <c r="G33" s="70"/>
      <c r="H33" s="62">
        <v>113</v>
      </c>
      <c r="I33" s="62">
        <v>122</v>
      </c>
      <c r="J33" s="62" t="s">
        <v>26</v>
      </c>
      <c r="K33" s="62"/>
      <c r="L33" s="62"/>
    </row>
    <row r="34" spans="1:12" s="56" customFormat="1" ht="60" x14ac:dyDescent="1">
      <c r="A34" s="55" t="s">
        <v>230</v>
      </c>
      <c r="B34" s="110"/>
      <c r="C34" s="195" t="s">
        <v>48</v>
      </c>
      <c r="D34" s="174"/>
      <c r="E34" s="174">
        <v>2500025709</v>
      </c>
      <c r="F34" s="177" t="s">
        <v>484</v>
      </c>
      <c r="G34" s="182">
        <v>40</v>
      </c>
      <c r="H34" s="174">
        <f>SUM($H$32+$H$33)*G34/1000</f>
        <v>5.04</v>
      </c>
      <c r="I34" s="174">
        <f>SUM($I$32+$I$33)*G34/1000</f>
        <v>5.6</v>
      </c>
      <c r="J34" s="62" t="s">
        <v>13</v>
      </c>
      <c r="K34" s="62"/>
      <c r="L34" s="62"/>
    </row>
    <row r="35" spans="1:12" s="56" customFormat="1" ht="60" x14ac:dyDescent="1">
      <c r="A35" s="55"/>
      <c r="B35" s="110"/>
      <c r="C35" s="326" t="s">
        <v>845</v>
      </c>
      <c r="D35" s="327"/>
      <c r="E35" s="327"/>
      <c r="F35" s="327"/>
      <c r="G35" s="327"/>
      <c r="H35" s="327"/>
      <c r="I35" s="327"/>
      <c r="J35" s="327"/>
      <c r="K35" s="327"/>
      <c r="L35" s="328"/>
    </row>
    <row r="36" spans="1:12" s="56" customFormat="1" ht="52.5" customHeight="1" x14ac:dyDescent="1">
      <c r="A36" s="55" t="s">
        <v>230</v>
      </c>
      <c r="B36" s="110">
        <v>4</v>
      </c>
      <c r="C36" s="170" t="s">
        <v>130</v>
      </c>
      <c r="D36" s="62" t="s">
        <v>33</v>
      </c>
      <c r="E36" s="62">
        <v>7100077148</v>
      </c>
      <c r="F36" s="71" t="s">
        <v>422</v>
      </c>
      <c r="G36" s="63"/>
      <c r="H36" s="62">
        <v>0</v>
      </c>
      <c r="I36" s="62">
        <v>0</v>
      </c>
      <c r="J36" s="62" t="s">
        <v>26</v>
      </c>
      <c r="K36" s="151"/>
      <c r="L36" s="164"/>
    </row>
    <row r="37" spans="1:12" s="56" customFormat="1" ht="52.5" customHeight="1" x14ac:dyDescent="1">
      <c r="A37" s="55" t="s">
        <v>230</v>
      </c>
      <c r="B37" s="110">
        <v>0</v>
      </c>
      <c r="C37" s="170" t="s">
        <v>130</v>
      </c>
      <c r="D37" s="62" t="s">
        <v>33</v>
      </c>
      <c r="E37" s="62">
        <v>7100077246</v>
      </c>
      <c r="F37" s="71" t="s">
        <v>423</v>
      </c>
      <c r="G37" s="63"/>
      <c r="H37" s="62">
        <v>0</v>
      </c>
      <c r="I37" s="62">
        <v>0</v>
      </c>
      <c r="J37" s="62" t="s">
        <v>26</v>
      </c>
      <c r="K37" s="151"/>
      <c r="L37" s="164"/>
    </row>
    <row r="38" spans="1:12" s="56" customFormat="1" ht="60" x14ac:dyDescent="1">
      <c r="A38" s="55" t="s">
        <v>230</v>
      </c>
      <c r="B38" s="110"/>
      <c r="C38" s="170" t="s">
        <v>130</v>
      </c>
      <c r="D38" s="174"/>
      <c r="E38" s="174">
        <v>2300023256</v>
      </c>
      <c r="F38" s="177" t="s">
        <v>152</v>
      </c>
      <c r="G38" s="174">
        <v>2</v>
      </c>
      <c r="H38" s="174">
        <f>SUM(($H$37+$H$36)*G38)</f>
        <v>0</v>
      </c>
      <c r="I38" s="174">
        <f>SUM(($I$37+$I$36)*G38)</f>
        <v>0</v>
      </c>
      <c r="J38" s="62" t="s">
        <v>14</v>
      </c>
      <c r="K38" s="151"/>
      <c r="L38" s="164"/>
    </row>
    <row r="39" spans="1:12" s="56" customFormat="1" ht="109.2" x14ac:dyDescent="1">
      <c r="A39" s="55" t="s">
        <v>230</v>
      </c>
      <c r="B39" s="130">
        <v>3</v>
      </c>
      <c r="C39" s="170" t="s">
        <v>50</v>
      </c>
      <c r="D39" s="174" t="s">
        <v>33</v>
      </c>
      <c r="E39" s="174">
        <v>4800048146</v>
      </c>
      <c r="F39" s="175" t="s">
        <v>597</v>
      </c>
      <c r="G39" s="174"/>
      <c r="H39" s="174">
        <v>0</v>
      </c>
      <c r="I39" s="174">
        <v>0</v>
      </c>
      <c r="J39" s="62" t="s">
        <v>14</v>
      </c>
      <c r="K39" s="62"/>
      <c r="L39" s="62"/>
    </row>
    <row r="40" spans="1:12" ht="60" x14ac:dyDescent="0.9">
      <c r="A40" s="55" t="s">
        <v>230</v>
      </c>
      <c r="B40" s="128">
        <v>3</v>
      </c>
      <c r="C40" s="170" t="s">
        <v>45</v>
      </c>
      <c r="D40" s="137" t="s">
        <v>457</v>
      </c>
      <c r="E40" s="137">
        <v>4600040710</v>
      </c>
      <c r="F40" s="159" t="s">
        <v>672</v>
      </c>
      <c r="G40" s="128"/>
      <c r="H40" s="128">
        <v>68</v>
      </c>
      <c r="I40" s="128">
        <v>78</v>
      </c>
      <c r="J40" s="62" t="s">
        <v>26</v>
      </c>
      <c r="K40" s="129"/>
      <c r="L40" s="129"/>
    </row>
    <row r="41" spans="1:12" ht="60" x14ac:dyDescent="0.9">
      <c r="A41" s="55" t="s">
        <v>230</v>
      </c>
      <c r="B41" s="128"/>
      <c r="C41" s="170" t="s">
        <v>45</v>
      </c>
      <c r="D41" s="188"/>
      <c r="E41" s="206">
        <v>2300023947</v>
      </c>
      <c r="F41" s="177" t="s">
        <v>104</v>
      </c>
      <c r="G41" s="206">
        <v>3</v>
      </c>
      <c r="H41" s="182">
        <f>SUM(H40*$G$41)</f>
        <v>204</v>
      </c>
      <c r="I41" s="182">
        <f>SUM(I40*$G$41)</f>
        <v>234</v>
      </c>
      <c r="J41" s="70" t="s">
        <v>14</v>
      </c>
      <c r="K41" s="129"/>
      <c r="L41" s="129"/>
    </row>
    <row r="42" spans="1:12" s="56" customFormat="1" ht="60" x14ac:dyDescent="1">
      <c r="A42" s="55"/>
      <c r="B42" s="135"/>
      <c r="C42" s="323" t="s">
        <v>594</v>
      </c>
      <c r="D42" s="324"/>
      <c r="E42" s="324"/>
      <c r="F42" s="324"/>
      <c r="G42" s="324"/>
      <c r="H42" s="324"/>
      <c r="I42" s="324"/>
      <c r="J42" s="324"/>
      <c r="K42" s="324"/>
      <c r="L42" s="325"/>
    </row>
    <row r="43" spans="1:12" s="56" customFormat="1" ht="60" x14ac:dyDescent="1">
      <c r="A43" s="173" t="s">
        <v>231</v>
      </c>
      <c r="B43" s="135">
        <v>1</v>
      </c>
      <c r="C43" s="80" t="s">
        <v>36</v>
      </c>
      <c r="D43" s="62" t="s">
        <v>10</v>
      </c>
      <c r="E43" s="62">
        <v>7900081427</v>
      </c>
      <c r="F43" s="69" t="s">
        <v>663</v>
      </c>
      <c r="G43" s="68"/>
      <c r="H43" s="68">
        <v>2</v>
      </c>
      <c r="I43" s="68">
        <v>3</v>
      </c>
      <c r="J43" s="65" t="s">
        <v>26</v>
      </c>
      <c r="K43" s="68"/>
      <c r="L43" s="62"/>
    </row>
    <row r="44" spans="1:12" s="56" customFormat="1" ht="60" x14ac:dyDescent="1">
      <c r="A44" s="173" t="s">
        <v>231</v>
      </c>
      <c r="B44" s="135"/>
      <c r="C44" s="80" t="s">
        <v>36</v>
      </c>
      <c r="D44" s="174"/>
      <c r="E44" s="174">
        <v>2300023256</v>
      </c>
      <c r="F44" s="186" t="s">
        <v>152</v>
      </c>
      <c r="G44" s="187">
        <v>2</v>
      </c>
      <c r="H44" s="187">
        <f>$G$44*H43</f>
        <v>4</v>
      </c>
      <c r="I44" s="187">
        <f>$G$44*I43</f>
        <v>6</v>
      </c>
      <c r="J44" s="62" t="s">
        <v>14</v>
      </c>
      <c r="K44" s="68"/>
      <c r="L44" s="62"/>
    </row>
    <row r="45" spans="1:12" s="56" customFormat="1" ht="58.5" customHeight="1" x14ac:dyDescent="1">
      <c r="A45" s="55" t="s">
        <v>231</v>
      </c>
      <c r="B45" s="110">
        <v>1</v>
      </c>
      <c r="C45" s="80" t="s">
        <v>36</v>
      </c>
      <c r="D45" s="62" t="s">
        <v>10</v>
      </c>
      <c r="E45" s="62">
        <v>7900081424</v>
      </c>
      <c r="F45" s="71" t="s">
        <v>661</v>
      </c>
      <c r="G45" s="63"/>
      <c r="H45" s="64">
        <v>1</v>
      </c>
      <c r="I45" s="64">
        <v>1</v>
      </c>
      <c r="J45" s="65" t="s">
        <v>26</v>
      </c>
      <c r="K45" s="72"/>
      <c r="L45" s="66"/>
    </row>
    <row r="46" spans="1:12" s="56" customFormat="1" ht="60" x14ac:dyDescent="1">
      <c r="A46" s="55" t="s">
        <v>231</v>
      </c>
      <c r="B46" s="110"/>
      <c r="C46" s="80" t="s">
        <v>36</v>
      </c>
      <c r="D46" s="188"/>
      <c r="E46" s="174">
        <v>2800028638</v>
      </c>
      <c r="F46" s="177" t="s">
        <v>662</v>
      </c>
      <c r="G46" s="189">
        <v>2</v>
      </c>
      <c r="H46" s="176">
        <f>G46*$H$45</f>
        <v>2</v>
      </c>
      <c r="I46" s="176">
        <f>G46*$I$45</f>
        <v>2</v>
      </c>
      <c r="J46" s="62" t="s">
        <v>14</v>
      </c>
      <c r="K46" s="72"/>
      <c r="L46" s="66"/>
    </row>
    <row r="47" spans="1:12" s="56" customFormat="1" ht="60" x14ac:dyDescent="1">
      <c r="A47" s="55" t="s">
        <v>231</v>
      </c>
      <c r="B47" s="110">
        <v>1</v>
      </c>
      <c r="C47" s="80" t="s">
        <v>3</v>
      </c>
      <c r="D47" s="62" t="s">
        <v>10</v>
      </c>
      <c r="E47" s="62">
        <v>4900060148</v>
      </c>
      <c r="F47" s="69" t="s">
        <v>664</v>
      </c>
      <c r="G47" s="203"/>
      <c r="H47" s="204">
        <v>20</v>
      </c>
      <c r="I47" s="204">
        <v>22</v>
      </c>
      <c r="J47" s="65" t="s">
        <v>26</v>
      </c>
      <c r="K47" s="72"/>
      <c r="L47" s="66"/>
    </row>
    <row r="48" spans="1:12" s="56" customFormat="1" ht="60" x14ac:dyDescent="1">
      <c r="A48" s="55" t="s">
        <v>231</v>
      </c>
      <c r="B48" s="110"/>
      <c r="C48" s="80" t="s">
        <v>3</v>
      </c>
      <c r="D48" s="191"/>
      <c r="E48" s="191" t="s">
        <v>543</v>
      </c>
      <c r="F48" s="181" t="s">
        <v>509</v>
      </c>
      <c r="G48" s="191">
        <v>3</v>
      </c>
      <c r="H48" s="180">
        <f>G48*H47</f>
        <v>60</v>
      </c>
      <c r="I48" s="180">
        <f>G48*I47</f>
        <v>66</v>
      </c>
      <c r="J48" s="137" t="s">
        <v>14</v>
      </c>
      <c r="K48" s="72"/>
      <c r="L48" s="66"/>
    </row>
    <row r="49" spans="1:12" s="56" customFormat="1" ht="60" x14ac:dyDescent="1">
      <c r="A49" s="55" t="s">
        <v>231</v>
      </c>
      <c r="B49" s="110">
        <v>1</v>
      </c>
      <c r="C49" s="80" t="s">
        <v>27</v>
      </c>
      <c r="D49" s="191" t="s">
        <v>665</v>
      </c>
      <c r="E49" s="191">
        <v>2200022516</v>
      </c>
      <c r="F49" s="185" t="s">
        <v>667</v>
      </c>
      <c r="G49" s="205"/>
      <c r="H49" s="184">
        <v>0.47299999999999998</v>
      </c>
      <c r="I49" s="184">
        <v>0.47299999999999998</v>
      </c>
      <c r="J49" s="137" t="s">
        <v>13</v>
      </c>
      <c r="K49" s="72"/>
      <c r="L49" s="66"/>
    </row>
    <row r="50" spans="1:12" s="56" customFormat="1" ht="60" x14ac:dyDescent="1">
      <c r="A50" s="55" t="s">
        <v>231</v>
      </c>
      <c r="B50" s="110">
        <v>1</v>
      </c>
      <c r="C50" s="80" t="s">
        <v>27</v>
      </c>
      <c r="D50" s="62" t="s">
        <v>10</v>
      </c>
      <c r="E50" s="67">
        <v>4400045624</v>
      </c>
      <c r="F50" s="69" t="s">
        <v>668</v>
      </c>
      <c r="G50" s="68"/>
      <c r="H50" s="68">
        <v>29</v>
      </c>
      <c r="I50" s="68">
        <v>30</v>
      </c>
      <c r="J50" s="62" t="s">
        <v>26</v>
      </c>
      <c r="K50" s="62"/>
      <c r="L50" s="62"/>
    </row>
    <row r="51" spans="1:12" s="56" customFormat="1" ht="60" x14ac:dyDescent="1">
      <c r="A51" s="55" t="s">
        <v>231</v>
      </c>
      <c r="B51" s="110"/>
      <c r="C51" s="80" t="s">
        <v>27</v>
      </c>
      <c r="D51" s="188"/>
      <c r="E51" s="188">
        <v>3700037592</v>
      </c>
      <c r="F51" s="186" t="s">
        <v>666</v>
      </c>
      <c r="G51" s="187">
        <v>3</v>
      </c>
      <c r="H51" s="187">
        <f>$G$51*H50</f>
        <v>87</v>
      </c>
      <c r="I51" s="187">
        <f>$G$51*I50</f>
        <v>90</v>
      </c>
      <c r="J51" s="68" t="s">
        <v>84</v>
      </c>
      <c r="K51" s="62"/>
      <c r="L51" s="62"/>
    </row>
    <row r="52" spans="1:12" s="56" customFormat="1" ht="58.5" customHeight="1" x14ac:dyDescent="1">
      <c r="A52" s="55" t="s">
        <v>231</v>
      </c>
      <c r="B52" s="110">
        <v>3</v>
      </c>
      <c r="C52" s="80" t="s">
        <v>4</v>
      </c>
      <c r="D52" s="62" t="s">
        <v>6</v>
      </c>
      <c r="E52" s="62">
        <v>4900050724</v>
      </c>
      <c r="F52" s="71" t="s">
        <v>502</v>
      </c>
      <c r="G52" s="63"/>
      <c r="H52" s="64">
        <v>32</v>
      </c>
      <c r="I52" s="64">
        <v>32</v>
      </c>
      <c r="J52" s="65" t="s">
        <v>26</v>
      </c>
      <c r="K52" s="72"/>
      <c r="L52" s="66"/>
    </row>
    <row r="53" spans="1:12" s="56" customFormat="1" ht="60" x14ac:dyDescent="1">
      <c r="A53" s="55" t="s">
        <v>231</v>
      </c>
      <c r="B53" s="110"/>
      <c r="C53" s="80" t="s">
        <v>4</v>
      </c>
      <c r="D53" s="188"/>
      <c r="E53" s="174">
        <v>2100021656</v>
      </c>
      <c r="F53" s="177" t="s">
        <v>503</v>
      </c>
      <c r="G53" s="189">
        <v>3</v>
      </c>
      <c r="H53" s="176">
        <f>G53*H52</f>
        <v>96</v>
      </c>
      <c r="I53" s="176">
        <f>G53*I52</f>
        <v>96</v>
      </c>
      <c r="J53" s="62" t="s">
        <v>14</v>
      </c>
      <c r="K53" s="72"/>
      <c r="L53" s="66"/>
    </row>
    <row r="54" spans="1:12" s="56" customFormat="1" ht="58.5" customHeight="1" x14ac:dyDescent="1">
      <c r="A54" s="55" t="s">
        <v>231</v>
      </c>
      <c r="B54" s="110">
        <v>2</v>
      </c>
      <c r="C54" s="80" t="s">
        <v>41</v>
      </c>
      <c r="D54" s="62" t="s">
        <v>10</v>
      </c>
      <c r="E54" s="62">
        <v>4900700555</v>
      </c>
      <c r="F54" s="71" t="s">
        <v>604</v>
      </c>
      <c r="G54" s="63"/>
      <c r="H54" s="64">
        <v>44</v>
      </c>
      <c r="I54" s="64">
        <v>32</v>
      </c>
      <c r="J54" s="65" t="s">
        <v>26</v>
      </c>
      <c r="K54" s="72"/>
      <c r="L54" s="66"/>
    </row>
    <row r="55" spans="1:12" s="56" customFormat="1" ht="58.5" customHeight="1" x14ac:dyDescent="1">
      <c r="A55" s="55" t="s">
        <v>231</v>
      </c>
      <c r="B55" s="110">
        <v>0</v>
      </c>
      <c r="C55" s="80" t="s">
        <v>41</v>
      </c>
      <c r="D55" s="62" t="s">
        <v>12</v>
      </c>
      <c r="E55" s="62">
        <v>4900091831</v>
      </c>
      <c r="F55" s="71" t="s">
        <v>605</v>
      </c>
      <c r="G55" s="63"/>
      <c r="H55" s="64">
        <v>4</v>
      </c>
      <c r="I55" s="64">
        <v>4</v>
      </c>
      <c r="J55" s="65" t="s">
        <v>26</v>
      </c>
      <c r="K55" s="72"/>
      <c r="L55" s="66"/>
    </row>
    <row r="56" spans="1:12" s="56" customFormat="1" ht="58.5" customHeight="1" x14ac:dyDescent="1">
      <c r="A56" s="55" t="s">
        <v>231</v>
      </c>
      <c r="B56" s="110">
        <v>0</v>
      </c>
      <c r="C56" s="80" t="s">
        <v>41</v>
      </c>
      <c r="D56" s="62" t="s">
        <v>12</v>
      </c>
      <c r="E56" s="62">
        <v>4900091838</v>
      </c>
      <c r="F56" s="71" t="s">
        <v>606</v>
      </c>
      <c r="G56" s="63"/>
      <c r="H56" s="64">
        <v>11</v>
      </c>
      <c r="I56" s="64">
        <v>11</v>
      </c>
      <c r="J56" s="65" t="s">
        <v>26</v>
      </c>
      <c r="K56" s="72"/>
      <c r="L56" s="66"/>
    </row>
    <row r="57" spans="1:12" s="56" customFormat="1" ht="60" x14ac:dyDescent="1">
      <c r="A57" s="55" t="s">
        <v>231</v>
      </c>
      <c r="B57" s="110"/>
      <c r="C57" s="80" t="s">
        <v>41</v>
      </c>
      <c r="D57" s="188"/>
      <c r="E57" s="174">
        <v>2100021938</v>
      </c>
      <c r="F57" s="177" t="s">
        <v>505</v>
      </c>
      <c r="G57" s="189">
        <v>2</v>
      </c>
      <c r="H57" s="176">
        <f>$G$57*($H$54+$H$55+$H$56)</f>
        <v>118</v>
      </c>
      <c r="I57" s="176">
        <f>$G$57*($I$54+$I$55+$I$56)</f>
        <v>94</v>
      </c>
      <c r="J57" s="62" t="s">
        <v>14</v>
      </c>
      <c r="K57" s="72"/>
      <c r="L57" s="66"/>
    </row>
    <row r="58" spans="1:12" s="56" customFormat="1" ht="58.5" customHeight="1" x14ac:dyDescent="1">
      <c r="A58" s="55" t="s">
        <v>231</v>
      </c>
      <c r="B58" s="110">
        <v>1</v>
      </c>
      <c r="C58" s="80" t="s">
        <v>130</v>
      </c>
      <c r="D58" s="67" t="s">
        <v>10</v>
      </c>
      <c r="E58" s="67">
        <v>7100077117</v>
      </c>
      <c r="F58" s="138" t="s">
        <v>421</v>
      </c>
      <c r="G58" s="70"/>
      <c r="H58" s="67">
        <v>0</v>
      </c>
      <c r="I58" s="62">
        <v>0</v>
      </c>
      <c r="J58" s="62" t="s">
        <v>26</v>
      </c>
      <c r="K58" s="62"/>
      <c r="L58" s="62"/>
    </row>
    <row r="59" spans="1:12" s="56" customFormat="1" ht="58.5" customHeight="1" x14ac:dyDescent="1">
      <c r="A59" s="55" t="s">
        <v>231</v>
      </c>
      <c r="B59" s="110">
        <v>0</v>
      </c>
      <c r="C59" s="80" t="s">
        <v>130</v>
      </c>
      <c r="D59" s="67" t="s">
        <v>10</v>
      </c>
      <c r="E59" s="67">
        <v>7100077238</v>
      </c>
      <c r="F59" s="138" t="s">
        <v>301</v>
      </c>
      <c r="G59" s="70"/>
      <c r="H59" s="67">
        <v>0</v>
      </c>
      <c r="I59" s="62">
        <v>0</v>
      </c>
      <c r="J59" s="62" t="s">
        <v>26</v>
      </c>
      <c r="K59" s="62"/>
      <c r="L59" s="62"/>
    </row>
    <row r="60" spans="1:12" s="56" customFormat="1" ht="60" x14ac:dyDescent="1">
      <c r="A60" s="55" t="s">
        <v>231</v>
      </c>
      <c r="B60" s="110"/>
      <c r="C60" s="80" t="s">
        <v>130</v>
      </c>
      <c r="D60" s="188"/>
      <c r="E60" s="174"/>
      <c r="F60" s="190" t="s">
        <v>136</v>
      </c>
      <c r="G60" s="182">
        <v>2</v>
      </c>
      <c r="H60" s="174">
        <f>SUM(($H$58+$H$59)*G60)</f>
        <v>0</v>
      </c>
      <c r="I60" s="174">
        <f>SUM(($I$58+$I$59)*G60)</f>
        <v>0</v>
      </c>
      <c r="J60" s="62" t="s">
        <v>14</v>
      </c>
      <c r="K60" s="62"/>
      <c r="L60" s="62"/>
    </row>
    <row r="61" spans="1:12" s="56" customFormat="1" ht="58.5" customHeight="1" x14ac:dyDescent="1">
      <c r="A61" s="55" t="s">
        <v>231</v>
      </c>
      <c r="B61" s="134">
        <v>3</v>
      </c>
      <c r="C61" s="80" t="s">
        <v>45</v>
      </c>
      <c r="D61" s="62" t="s">
        <v>10</v>
      </c>
      <c r="E61" s="65">
        <v>4600040763</v>
      </c>
      <c r="F61" s="71" t="s">
        <v>670</v>
      </c>
      <c r="G61" s="70"/>
      <c r="H61" s="62">
        <v>11</v>
      </c>
      <c r="I61" s="62">
        <v>15</v>
      </c>
      <c r="J61" s="62" t="s">
        <v>26</v>
      </c>
      <c r="K61" s="62"/>
      <c r="L61" s="62"/>
    </row>
    <row r="62" spans="1:12" s="56" customFormat="1" ht="58.5" customHeight="1" x14ac:dyDescent="1">
      <c r="A62" s="55" t="s">
        <v>231</v>
      </c>
      <c r="B62" s="134">
        <v>0</v>
      </c>
      <c r="C62" s="80" t="s">
        <v>45</v>
      </c>
      <c r="D62" s="62" t="s">
        <v>10</v>
      </c>
      <c r="E62" s="65">
        <v>4600040828</v>
      </c>
      <c r="F62" s="71" t="s">
        <v>671</v>
      </c>
      <c r="G62" s="70"/>
      <c r="H62" s="62">
        <v>1</v>
      </c>
      <c r="I62" s="62">
        <v>1</v>
      </c>
      <c r="J62" s="62" t="s">
        <v>26</v>
      </c>
      <c r="K62" s="62"/>
      <c r="L62" s="62"/>
    </row>
    <row r="63" spans="1:12" ht="60" x14ac:dyDescent="0.9">
      <c r="A63" s="55" t="s">
        <v>231</v>
      </c>
      <c r="B63" s="62"/>
      <c r="C63" s="80" t="s">
        <v>45</v>
      </c>
      <c r="D63" s="206"/>
      <c r="E63" s="206">
        <v>3000134055</v>
      </c>
      <c r="F63" s="177" t="s">
        <v>669</v>
      </c>
      <c r="G63" s="206">
        <v>2</v>
      </c>
      <c r="H63" s="182">
        <f>SUM($H$61+$H$62)*G63</f>
        <v>24</v>
      </c>
      <c r="I63" s="182">
        <f>SUM($I$61+$I$62)*G63</f>
        <v>32</v>
      </c>
      <c r="J63" s="70" t="s">
        <v>14</v>
      </c>
      <c r="K63" s="62"/>
      <c r="L63" s="62"/>
    </row>
    <row r="64" spans="1:12" ht="60" x14ac:dyDescent="0.9">
      <c r="A64" s="55" t="s">
        <v>231</v>
      </c>
      <c r="B64" s="128">
        <v>1</v>
      </c>
      <c r="C64" s="80" t="s">
        <v>32</v>
      </c>
      <c r="D64" s="62" t="s">
        <v>10</v>
      </c>
      <c r="E64" s="70">
        <v>4600046716</v>
      </c>
      <c r="F64" s="71" t="s">
        <v>673</v>
      </c>
      <c r="G64" s="70"/>
      <c r="H64" s="70">
        <v>35</v>
      </c>
      <c r="I64" s="70">
        <v>37</v>
      </c>
      <c r="J64" s="70" t="s">
        <v>26</v>
      </c>
      <c r="K64" s="315" t="s">
        <v>674</v>
      </c>
      <c r="L64" s="319"/>
    </row>
    <row r="65" spans="1:12" ht="60" x14ac:dyDescent="0.9">
      <c r="A65" s="55" t="s">
        <v>231</v>
      </c>
      <c r="B65" s="128"/>
      <c r="C65" s="80" t="s">
        <v>32</v>
      </c>
      <c r="D65" s="188"/>
      <c r="E65" s="206">
        <v>3300033165</v>
      </c>
      <c r="F65" s="177" t="s">
        <v>850</v>
      </c>
      <c r="G65" s="206">
        <v>3</v>
      </c>
      <c r="H65" s="182">
        <f>G65*H64</f>
        <v>105</v>
      </c>
      <c r="I65" s="182">
        <f>G65*I64</f>
        <v>111</v>
      </c>
      <c r="J65" s="70" t="s">
        <v>14</v>
      </c>
      <c r="K65" s="315"/>
      <c r="L65" s="319"/>
    </row>
    <row r="66" spans="1:12" s="56" customFormat="1" ht="108" customHeight="1" x14ac:dyDescent="1">
      <c r="A66" s="55" t="s">
        <v>230</v>
      </c>
      <c r="B66" s="110">
        <v>1</v>
      </c>
      <c r="C66" s="80" t="s">
        <v>5</v>
      </c>
      <c r="D66" s="174" t="s">
        <v>10</v>
      </c>
      <c r="E66" s="174">
        <v>2400024353</v>
      </c>
      <c r="F66" s="177" t="s">
        <v>601</v>
      </c>
      <c r="G66" s="62"/>
      <c r="H66" s="299" t="s">
        <v>261</v>
      </c>
      <c r="I66" s="174">
        <v>32</v>
      </c>
      <c r="J66" s="62" t="s">
        <v>14</v>
      </c>
      <c r="K66" s="62"/>
      <c r="L66" s="62"/>
    </row>
    <row r="67" spans="1:12" s="56" customFormat="1" ht="109.2" x14ac:dyDescent="1">
      <c r="A67" s="55" t="s">
        <v>230</v>
      </c>
      <c r="B67" s="135">
        <v>1</v>
      </c>
      <c r="C67" s="80" t="s">
        <v>5</v>
      </c>
      <c r="D67" s="187" t="s">
        <v>10</v>
      </c>
      <c r="E67" s="187">
        <v>4000042251</v>
      </c>
      <c r="F67" s="186" t="s">
        <v>676</v>
      </c>
      <c r="G67" s="68"/>
      <c r="H67" s="300"/>
      <c r="I67" s="187">
        <v>4</v>
      </c>
      <c r="J67" s="62" t="s">
        <v>14</v>
      </c>
      <c r="K67" s="68"/>
      <c r="L67" s="68"/>
    </row>
    <row r="68" spans="1:12" s="56" customFormat="1" ht="60" x14ac:dyDescent="1">
      <c r="A68" s="55" t="s">
        <v>230</v>
      </c>
      <c r="B68" s="135">
        <v>2</v>
      </c>
      <c r="C68" s="80" t="s">
        <v>47</v>
      </c>
      <c r="D68" s="187" t="s">
        <v>51</v>
      </c>
      <c r="E68" s="187">
        <v>3900042764</v>
      </c>
      <c r="F68" s="177" t="s">
        <v>675</v>
      </c>
      <c r="G68" s="177"/>
      <c r="H68" s="182">
        <v>118</v>
      </c>
      <c r="I68" s="182">
        <v>160</v>
      </c>
      <c r="J68" s="70" t="s">
        <v>14</v>
      </c>
      <c r="K68" s="68"/>
      <c r="L68" s="68"/>
    </row>
    <row r="69" spans="1:12" s="56" customFormat="1" ht="58.5" customHeight="1" x14ac:dyDescent="1">
      <c r="A69" s="55" t="s">
        <v>230</v>
      </c>
      <c r="B69" s="135">
        <v>1</v>
      </c>
      <c r="C69" s="80" t="s">
        <v>47</v>
      </c>
      <c r="D69" s="68" t="s">
        <v>12</v>
      </c>
      <c r="E69" s="68">
        <v>7200072749</v>
      </c>
      <c r="F69" s="69" t="s">
        <v>507</v>
      </c>
      <c r="G69" s="68"/>
      <c r="H69" s="158">
        <v>25</v>
      </c>
      <c r="I69" s="68">
        <v>38</v>
      </c>
      <c r="J69" s="68" t="s">
        <v>26</v>
      </c>
      <c r="K69" s="68"/>
      <c r="L69" s="68"/>
    </row>
    <row r="70" spans="1:12" s="56" customFormat="1" ht="60" x14ac:dyDescent="1">
      <c r="A70" s="55" t="s">
        <v>230</v>
      </c>
      <c r="B70" s="134"/>
      <c r="C70" s="80" t="s">
        <v>47</v>
      </c>
      <c r="D70" s="188"/>
      <c r="E70" s="174">
        <v>3900042456</v>
      </c>
      <c r="F70" s="177" t="s">
        <v>506</v>
      </c>
      <c r="G70" s="174">
        <v>75</v>
      </c>
      <c r="H70" s="174">
        <f>$G$70*$H$69/1000</f>
        <v>1.875</v>
      </c>
      <c r="I70" s="174">
        <f>$G$70*$I$69/1000</f>
        <v>2.85</v>
      </c>
      <c r="J70" s="62" t="s">
        <v>13</v>
      </c>
      <c r="K70" s="62"/>
      <c r="L70" s="62"/>
    </row>
    <row r="71" spans="1:12" s="56" customFormat="1" ht="58.5" customHeight="1" x14ac:dyDescent="1">
      <c r="A71" s="55" t="s">
        <v>231</v>
      </c>
      <c r="B71" s="110">
        <v>1</v>
      </c>
      <c r="C71" s="80" t="s">
        <v>48</v>
      </c>
      <c r="D71" s="65" t="s">
        <v>10</v>
      </c>
      <c r="E71" s="67">
        <v>4600042145</v>
      </c>
      <c r="F71" s="71" t="s">
        <v>510</v>
      </c>
      <c r="G71" s="70"/>
      <c r="H71" s="62">
        <v>13</v>
      </c>
      <c r="I71" s="62">
        <v>15</v>
      </c>
      <c r="J71" s="62" t="s">
        <v>26</v>
      </c>
      <c r="K71" s="62"/>
      <c r="L71" s="62"/>
    </row>
    <row r="72" spans="1:12" s="56" customFormat="1" ht="60" x14ac:dyDescent="1">
      <c r="A72" s="55" t="s">
        <v>231</v>
      </c>
      <c r="B72" s="110"/>
      <c r="C72" s="80" t="s">
        <v>48</v>
      </c>
      <c r="D72" s="188"/>
      <c r="E72" s="174">
        <v>2200022866</v>
      </c>
      <c r="F72" s="177" t="s">
        <v>508</v>
      </c>
      <c r="G72" s="182">
        <v>15</v>
      </c>
      <c r="H72" s="174">
        <f>G72*$H$71/1000</f>
        <v>0.19500000000000001</v>
      </c>
      <c r="I72" s="174">
        <f>G72*$I$71/1000</f>
        <v>0.22500000000000001</v>
      </c>
      <c r="J72" s="62" t="s">
        <v>13</v>
      </c>
      <c r="K72" s="62"/>
      <c r="L72" s="62"/>
    </row>
    <row r="73" spans="1:12" s="56" customFormat="1" ht="58.5" customHeight="1" x14ac:dyDescent="1">
      <c r="A73" s="55" t="s">
        <v>231</v>
      </c>
      <c r="B73" s="110">
        <v>1</v>
      </c>
      <c r="C73" s="80" t="s">
        <v>48</v>
      </c>
      <c r="D73" s="65" t="s">
        <v>10</v>
      </c>
      <c r="E73" s="65">
        <v>4600042146</v>
      </c>
      <c r="F73" s="71" t="s">
        <v>511</v>
      </c>
      <c r="G73" s="70"/>
      <c r="H73" s="62">
        <v>12</v>
      </c>
      <c r="I73" s="62">
        <v>14</v>
      </c>
      <c r="J73" s="62" t="s">
        <v>26</v>
      </c>
      <c r="K73" s="62"/>
      <c r="L73" s="62"/>
    </row>
    <row r="74" spans="1:12" s="56" customFormat="1" ht="60" x14ac:dyDescent="1">
      <c r="A74" s="55" t="s">
        <v>231</v>
      </c>
      <c r="B74" s="110"/>
      <c r="C74" s="80" t="s">
        <v>48</v>
      </c>
      <c r="D74" s="188"/>
      <c r="E74" s="174"/>
      <c r="F74" s="177" t="s">
        <v>509</v>
      </c>
      <c r="G74" s="182">
        <v>3</v>
      </c>
      <c r="H74" s="174">
        <f>$G$74*H73</f>
        <v>36</v>
      </c>
      <c r="I74" s="174">
        <f>$G$74*I73</f>
        <v>42</v>
      </c>
      <c r="J74" s="62" t="s">
        <v>14</v>
      </c>
      <c r="K74" s="62"/>
      <c r="L74" s="62"/>
    </row>
    <row r="75" spans="1:12" s="56" customFormat="1" ht="58.5" customHeight="1" x14ac:dyDescent="1">
      <c r="A75" s="55" t="s">
        <v>231</v>
      </c>
      <c r="B75" s="110">
        <v>0</v>
      </c>
      <c r="C75" s="80" t="s">
        <v>48</v>
      </c>
      <c r="D75" s="62" t="s">
        <v>10</v>
      </c>
      <c r="E75" s="62">
        <v>4600042157</v>
      </c>
      <c r="F75" s="71" t="s">
        <v>512</v>
      </c>
      <c r="G75" s="70"/>
      <c r="H75" s="62">
        <v>5</v>
      </c>
      <c r="I75" s="62">
        <v>6</v>
      </c>
      <c r="J75" s="62" t="s">
        <v>26</v>
      </c>
      <c r="K75" s="62"/>
      <c r="L75" s="62"/>
    </row>
    <row r="76" spans="1:12" ht="58.5" customHeight="1" x14ac:dyDescent="0.9">
      <c r="A76" s="55" t="s">
        <v>231</v>
      </c>
      <c r="B76" s="128">
        <v>1</v>
      </c>
      <c r="C76" s="80" t="s">
        <v>48</v>
      </c>
      <c r="D76" s="62" t="s">
        <v>6</v>
      </c>
      <c r="E76" s="137">
        <v>4600042245</v>
      </c>
      <c r="F76" s="159" t="s">
        <v>513</v>
      </c>
      <c r="G76" s="128"/>
      <c r="H76" s="128">
        <v>1</v>
      </c>
      <c r="I76" s="128">
        <v>1</v>
      </c>
      <c r="J76" s="62" t="s">
        <v>26</v>
      </c>
      <c r="K76" s="129"/>
      <c r="L76" s="129"/>
    </row>
    <row r="77" spans="1:12" ht="58.5" customHeight="1" x14ac:dyDescent="0.9">
      <c r="A77" s="55" t="s">
        <v>231</v>
      </c>
      <c r="B77" s="128">
        <v>0</v>
      </c>
      <c r="C77" s="80" t="s">
        <v>48</v>
      </c>
      <c r="D77" s="137" t="s">
        <v>10</v>
      </c>
      <c r="E77" s="137">
        <v>4600047057</v>
      </c>
      <c r="F77" s="159" t="s">
        <v>514</v>
      </c>
      <c r="G77" s="128"/>
      <c r="H77" s="128">
        <v>2</v>
      </c>
      <c r="I77" s="128">
        <v>3</v>
      </c>
      <c r="J77" s="62" t="s">
        <v>26</v>
      </c>
      <c r="K77" s="129"/>
      <c r="L77" s="129"/>
    </row>
    <row r="78" spans="1:12" ht="60" x14ac:dyDescent="0.9">
      <c r="A78" s="55" t="s">
        <v>231</v>
      </c>
      <c r="B78" s="128"/>
      <c r="C78" s="80" t="s">
        <v>48</v>
      </c>
      <c r="D78" s="191"/>
      <c r="E78" s="180">
        <v>2300023947</v>
      </c>
      <c r="F78" s="192" t="s">
        <v>104</v>
      </c>
      <c r="G78" s="193">
        <v>3</v>
      </c>
      <c r="H78" s="193">
        <f>$G$78*($H$75+$H$76+$H$77)</f>
        <v>24</v>
      </c>
      <c r="I78" s="193">
        <f>$G$78*($I$75+$I$76+$I$77)</f>
        <v>30</v>
      </c>
      <c r="J78" s="62" t="s">
        <v>14</v>
      </c>
      <c r="K78" s="129"/>
      <c r="L78" s="129"/>
    </row>
    <row r="91" spans="7:7" x14ac:dyDescent="0.9">
      <c r="G91" s="127"/>
    </row>
    <row r="92" spans="7:7" x14ac:dyDescent="0.9">
      <c r="G92" s="127"/>
    </row>
    <row r="93" spans="7:7" x14ac:dyDescent="0.9">
      <c r="G93" s="127"/>
    </row>
    <row r="94" spans="7:7" x14ac:dyDescent="0.9">
      <c r="G94" s="127"/>
    </row>
    <row r="95" spans="7:7" x14ac:dyDescent="0.9">
      <c r="G95" s="127"/>
    </row>
    <row r="96" spans="7:7" x14ac:dyDescent="0.9">
      <c r="G96" s="127"/>
    </row>
    <row r="97" spans="7:7" x14ac:dyDescent="0.9">
      <c r="G97" s="127"/>
    </row>
    <row r="98" spans="7:7" x14ac:dyDescent="0.9">
      <c r="G98" s="127"/>
    </row>
    <row r="99" spans="7:7" x14ac:dyDescent="0.9">
      <c r="G99" s="127"/>
    </row>
    <row r="100" spans="7:7" x14ac:dyDescent="0.9">
      <c r="G100" s="127"/>
    </row>
    <row r="101" spans="7:7" x14ac:dyDescent="0.9">
      <c r="G101" s="127"/>
    </row>
  </sheetData>
  <autoFilter ref="A3:L78" xr:uid="{254B10E6-37DB-4642-A372-3EBD21FAEB74}"/>
  <mergeCells count="13">
    <mergeCell ref="H66:H67"/>
    <mergeCell ref="G1:I2"/>
    <mergeCell ref="C1:E2"/>
    <mergeCell ref="F1:F2"/>
    <mergeCell ref="K26:K27"/>
    <mergeCell ref="C24:L24"/>
    <mergeCell ref="J1:K1"/>
    <mergeCell ref="J2:K2"/>
    <mergeCell ref="K64:K65"/>
    <mergeCell ref="L64:L65"/>
    <mergeCell ref="C4:L4"/>
    <mergeCell ref="C42:L42"/>
    <mergeCell ref="C35:L35"/>
  </mergeCells>
  <phoneticPr fontId="2" type="noConversion"/>
  <conditionalFormatting sqref="K3:L3 K25:L34 K36:L38 K40:L41 K43:L65 K72:L75">
    <cfRule type="expression" dxfId="18" priority="6">
      <formula>"if+$P$2&gt;0"</formula>
    </cfRule>
  </conditionalFormatting>
  <conditionalFormatting sqref="K6:L23 I26:J27">
    <cfRule type="expression" dxfId="17" priority="2">
      <formula>"if+$P$2&gt;0"</formula>
    </cfRule>
  </conditionalFormatting>
  <pageMargins left="0" right="0" top="0" bottom="0" header="0" footer="0"/>
  <pageSetup paperSize="8" scale="2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6B44B-E62E-485F-B9E1-F807908551FE}">
  <sheetPr codeName="Sheet8">
    <pageSetUpPr fitToPage="1"/>
  </sheetPr>
  <dimension ref="A1:T49"/>
  <sheetViews>
    <sheetView view="pageBreakPreview" zoomScale="40" zoomScaleNormal="100" zoomScaleSheetLayoutView="40" workbookViewId="0">
      <pane ySplit="3" topLeftCell="A4" activePane="bottomLeft" state="frozen"/>
      <selection activeCell="D160" sqref="D160"/>
      <selection pane="bottomLeft" activeCell="D45" sqref="D45"/>
    </sheetView>
  </sheetViews>
  <sheetFormatPr defaultColWidth="9.109375" defaultRowHeight="37.799999999999997" x14ac:dyDescent="0.25"/>
  <cols>
    <col min="1" max="1" width="24.109375" style="29" customWidth="1"/>
    <col min="2" max="2" width="28.44140625" style="45" bestFit="1" customWidth="1"/>
    <col min="3" max="3" width="30.33203125" style="29" customWidth="1"/>
    <col min="4" max="4" width="32.5546875" style="59" bestFit="1" customWidth="1"/>
    <col min="5" max="5" width="140.88671875" style="42" customWidth="1"/>
    <col min="6" max="6" width="48.109375" style="29" customWidth="1"/>
    <col min="7" max="7" width="21.5546875" style="29" bestFit="1" customWidth="1"/>
    <col min="8" max="8" width="25.109375" style="29" bestFit="1" customWidth="1"/>
    <col min="9" max="9" width="16.5546875" style="29" bestFit="1" customWidth="1"/>
    <col min="10" max="10" width="17.109375" style="29" customWidth="1"/>
    <col min="11" max="17" width="9.109375" style="29"/>
    <col min="18" max="18" width="25.33203125" style="29" customWidth="1"/>
    <col min="19" max="32" width="9.109375" style="29"/>
    <col min="33" max="33" width="9.109375" style="29" customWidth="1"/>
    <col min="34" max="16384" width="9.109375" style="29"/>
  </cols>
  <sheetData>
    <row r="1" spans="1:14" s="19" customFormat="1" x14ac:dyDescent="0.25">
      <c r="B1" s="350" t="s">
        <v>705</v>
      </c>
      <c r="C1" s="351"/>
      <c r="D1" s="352"/>
      <c r="E1" s="367" t="s">
        <v>268</v>
      </c>
      <c r="F1" s="356">
        <f ca="1">TODAY()+1</f>
        <v>46175</v>
      </c>
      <c r="G1" s="357"/>
      <c r="H1" s="284" t="s">
        <v>16</v>
      </c>
      <c r="I1" s="284"/>
      <c r="J1" s="360">
        <f ca="1">F1+1</f>
        <v>46176</v>
      </c>
      <c r="K1" s="361"/>
      <c r="L1" s="361"/>
      <c r="M1" s="361"/>
      <c r="N1" s="362"/>
    </row>
    <row r="2" spans="1:14" s="19" customFormat="1" x14ac:dyDescent="0.25">
      <c r="A2" s="58"/>
      <c r="B2" s="353"/>
      <c r="C2" s="354"/>
      <c r="D2" s="355"/>
      <c r="E2" s="368"/>
      <c r="F2" s="358"/>
      <c r="G2" s="359"/>
      <c r="H2" s="366" t="s">
        <v>17</v>
      </c>
      <c r="I2" s="366"/>
      <c r="J2" s="363">
        <f ca="1">F1+2</f>
        <v>46177</v>
      </c>
      <c r="K2" s="364"/>
      <c r="L2" s="364"/>
      <c r="M2" s="364"/>
      <c r="N2" s="365"/>
    </row>
    <row r="3" spans="1:14" s="19" customFormat="1" x14ac:dyDescent="0.25">
      <c r="A3" s="105" t="s">
        <v>72</v>
      </c>
      <c r="B3" s="104" t="s">
        <v>0</v>
      </c>
      <c r="C3" s="81" t="s">
        <v>28</v>
      </c>
      <c r="D3" s="81" t="s">
        <v>1</v>
      </c>
      <c r="E3" s="104" t="s">
        <v>2</v>
      </c>
      <c r="F3" s="81" t="s">
        <v>24</v>
      </c>
      <c r="G3" s="81" t="s">
        <v>29</v>
      </c>
      <c r="H3" s="373" t="s">
        <v>68</v>
      </c>
      <c r="I3" s="374"/>
      <c r="J3" s="375"/>
      <c r="K3" s="369" t="s">
        <v>76</v>
      </c>
      <c r="L3" s="369"/>
      <c r="M3" s="369"/>
      <c r="N3" s="369"/>
    </row>
    <row r="4" spans="1:14" ht="75" customHeight="1" x14ac:dyDescent="0.25">
      <c r="A4" s="10">
        <v>2</v>
      </c>
      <c r="B4" s="155" t="s">
        <v>62</v>
      </c>
      <c r="C4" s="10" t="s">
        <v>31</v>
      </c>
      <c r="D4" s="12">
        <v>3500035999</v>
      </c>
      <c r="E4" s="11" t="s">
        <v>463</v>
      </c>
      <c r="F4" s="10">
        <v>0.15</v>
      </c>
      <c r="G4" s="10" t="s">
        <v>13</v>
      </c>
      <c r="H4" s="240"/>
      <c r="I4" s="240"/>
      <c r="J4" s="240"/>
      <c r="K4" s="330"/>
      <c r="L4" s="330"/>
      <c r="M4" s="330"/>
      <c r="N4" s="330"/>
    </row>
    <row r="5" spans="1:14" ht="75" customHeight="1" x14ac:dyDescent="0.25">
      <c r="A5" s="10">
        <v>2</v>
      </c>
      <c r="B5" s="155" t="s">
        <v>62</v>
      </c>
      <c r="C5" s="10" t="s">
        <v>43</v>
      </c>
      <c r="D5" s="12">
        <v>3900042912</v>
      </c>
      <c r="E5" s="11" t="s">
        <v>464</v>
      </c>
      <c r="F5" s="10">
        <v>2.8000000000000001E-2</v>
      </c>
      <c r="G5" s="10" t="s">
        <v>127</v>
      </c>
      <c r="H5" s="240"/>
      <c r="I5" s="240"/>
      <c r="J5" s="240"/>
      <c r="K5" s="330"/>
      <c r="L5" s="330"/>
      <c r="M5" s="330"/>
      <c r="N5" s="330"/>
    </row>
    <row r="6" spans="1:14" s="19" customFormat="1" x14ac:dyDescent="0.25">
      <c r="B6" s="370" t="s">
        <v>74</v>
      </c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2"/>
    </row>
    <row r="7" spans="1:14" ht="75" customHeight="1" x14ac:dyDescent="0.25">
      <c r="A7" s="10">
        <v>13</v>
      </c>
      <c r="B7" s="82" t="s">
        <v>286</v>
      </c>
      <c r="C7" s="10" t="s">
        <v>260</v>
      </c>
      <c r="D7" s="10">
        <v>3900042521</v>
      </c>
      <c r="E7" s="11" t="s">
        <v>459</v>
      </c>
      <c r="F7" s="10">
        <v>0</v>
      </c>
      <c r="G7" s="10" t="s">
        <v>298</v>
      </c>
      <c r="H7" s="376" t="s">
        <v>679</v>
      </c>
      <c r="I7" s="377"/>
      <c r="J7" s="378"/>
      <c r="K7" s="338"/>
      <c r="L7" s="338"/>
      <c r="M7" s="338"/>
      <c r="N7" s="338"/>
    </row>
    <row r="8" spans="1:14" ht="75" customHeight="1" x14ac:dyDescent="0.25">
      <c r="A8" s="29">
        <v>13</v>
      </c>
      <c r="B8" s="82" t="s">
        <v>286</v>
      </c>
      <c r="C8" s="10" t="s">
        <v>260</v>
      </c>
      <c r="D8" s="12">
        <v>3000134042</v>
      </c>
      <c r="E8" s="11" t="s">
        <v>703</v>
      </c>
      <c r="F8" s="10">
        <v>0</v>
      </c>
      <c r="G8" s="10" t="s">
        <v>298</v>
      </c>
      <c r="H8" s="331" t="s">
        <v>682</v>
      </c>
      <c r="I8" s="331"/>
      <c r="J8" s="331"/>
      <c r="K8" s="330"/>
      <c r="L8" s="330"/>
      <c r="M8" s="330"/>
      <c r="N8" s="330"/>
    </row>
    <row r="9" spans="1:14" ht="75" customHeight="1" x14ac:dyDescent="0.25">
      <c r="A9" s="10">
        <v>2</v>
      </c>
      <c r="B9" s="82" t="s">
        <v>424</v>
      </c>
      <c r="C9" s="10" t="s">
        <v>31</v>
      </c>
      <c r="D9" s="12" t="s">
        <v>69</v>
      </c>
      <c r="E9" s="31" t="s">
        <v>70</v>
      </c>
      <c r="F9" s="10">
        <v>0.45</v>
      </c>
      <c r="G9" s="10" t="s">
        <v>13</v>
      </c>
      <c r="H9" s="329"/>
      <c r="I9" s="329"/>
      <c r="J9" s="329"/>
      <c r="K9" s="338"/>
      <c r="L9" s="338"/>
      <c r="M9" s="338"/>
      <c r="N9" s="338"/>
    </row>
    <row r="10" spans="1:14" ht="75" customHeight="1" x14ac:dyDescent="0.25">
      <c r="A10" s="10">
        <v>4</v>
      </c>
      <c r="B10" s="82" t="s">
        <v>159</v>
      </c>
      <c r="C10" s="10" t="s">
        <v>51</v>
      </c>
      <c r="D10" s="43">
        <v>3000030199</v>
      </c>
      <c r="E10" s="44" t="s">
        <v>343</v>
      </c>
      <c r="F10" s="10">
        <v>0.42</v>
      </c>
      <c r="G10" s="10" t="s">
        <v>13</v>
      </c>
      <c r="H10" s="329"/>
      <c r="I10" s="329"/>
      <c r="J10" s="329"/>
      <c r="K10" s="338"/>
      <c r="L10" s="338"/>
      <c r="M10" s="338"/>
      <c r="N10" s="338"/>
    </row>
    <row r="11" spans="1:14" ht="75" customHeight="1" x14ac:dyDescent="0.25">
      <c r="A11" s="10">
        <v>2</v>
      </c>
      <c r="B11" s="82" t="s">
        <v>37</v>
      </c>
      <c r="C11" s="10" t="s">
        <v>260</v>
      </c>
      <c r="D11" s="12">
        <v>3000133001</v>
      </c>
      <c r="E11" s="11" t="s">
        <v>341</v>
      </c>
      <c r="F11" s="10">
        <v>2</v>
      </c>
      <c r="G11" s="10" t="s">
        <v>298</v>
      </c>
      <c r="H11" s="240"/>
      <c r="I11" s="240"/>
      <c r="J11" s="240"/>
      <c r="K11" s="330"/>
      <c r="L11" s="330"/>
      <c r="M11" s="330"/>
      <c r="N11" s="330"/>
    </row>
    <row r="12" spans="1:14" ht="75" customHeight="1" x14ac:dyDescent="0.25">
      <c r="A12" s="10">
        <v>2</v>
      </c>
      <c r="B12" s="82" t="s">
        <v>4</v>
      </c>
      <c r="C12" s="10" t="s">
        <v>6</v>
      </c>
      <c r="D12" s="12" t="s">
        <v>515</v>
      </c>
      <c r="E12" s="11" t="s">
        <v>523</v>
      </c>
      <c r="F12" s="10">
        <v>1.4</v>
      </c>
      <c r="G12" s="10" t="s">
        <v>13</v>
      </c>
      <c r="H12" s="329" t="s">
        <v>395</v>
      </c>
      <c r="I12" s="329"/>
      <c r="J12" s="329"/>
      <c r="K12" s="338"/>
      <c r="L12" s="338"/>
      <c r="M12" s="338"/>
      <c r="N12" s="338"/>
    </row>
    <row r="13" spans="1:14" ht="75" customHeight="1" x14ac:dyDescent="0.25">
      <c r="A13" s="10">
        <v>2</v>
      </c>
      <c r="B13" s="82" t="s">
        <v>4</v>
      </c>
      <c r="C13" s="10" t="s">
        <v>31</v>
      </c>
      <c r="D13" s="12">
        <v>2800028063</v>
      </c>
      <c r="E13" s="11" t="s">
        <v>520</v>
      </c>
      <c r="F13" s="10">
        <v>1.68</v>
      </c>
      <c r="G13" s="10" t="s">
        <v>13</v>
      </c>
      <c r="H13" s="329" t="s">
        <v>395</v>
      </c>
      <c r="I13" s="329"/>
      <c r="J13" s="329"/>
      <c r="K13" s="330"/>
      <c r="L13" s="330"/>
      <c r="M13" s="330"/>
      <c r="N13" s="330"/>
    </row>
    <row r="14" spans="1:14" ht="75" customHeight="1" x14ac:dyDescent="0.25">
      <c r="A14" s="10">
        <v>2</v>
      </c>
      <c r="B14" s="82" t="s">
        <v>4</v>
      </c>
      <c r="C14" s="10" t="s">
        <v>31</v>
      </c>
      <c r="D14" s="49">
        <v>3200032798</v>
      </c>
      <c r="E14" s="11" t="s">
        <v>144</v>
      </c>
      <c r="F14" s="10">
        <v>0.04</v>
      </c>
      <c r="G14" s="10" t="s">
        <v>13</v>
      </c>
      <c r="H14" s="329"/>
      <c r="I14" s="329"/>
      <c r="J14" s="329"/>
      <c r="K14" s="338"/>
      <c r="L14" s="338"/>
      <c r="M14" s="338"/>
      <c r="N14" s="338"/>
    </row>
    <row r="15" spans="1:14" ht="75" customHeight="1" x14ac:dyDescent="0.25">
      <c r="A15" s="10">
        <v>2</v>
      </c>
      <c r="B15" s="82" t="s">
        <v>41</v>
      </c>
      <c r="C15" s="10" t="s">
        <v>31</v>
      </c>
      <c r="D15" s="12">
        <v>3100031248</v>
      </c>
      <c r="E15" s="11" t="s">
        <v>521</v>
      </c>
      <c r="F15" s="10">
        <v>0.47</v>
      </c>
      <c r="G15" s="10" t="s">
        <v>13</v>
      </c>
      <c r="H15" s="329" t="s">
        <v>395</v>
      </c>
      <c r="I15" s="329"/>
      <c r="J15" s="329"/>
      <c r="K15" s="330"/>
      <c r="L15" s="330"/>
      <c r="M15" s="330"/>
      <c r="N15" s="330"/>
    </row>
    <row r="16" spans="1:14" ht="75" customHeight="1" x14ac:dyDescent="0.25">
      <c r="A16" s="29">
        <v>2</v>
      </c>
      <c r="B16" s="82" t="s">
        <v>688</v>
      </c>
      <c r="C16" s="10" t="s">
        <v>31</v>
      </c>
      <c r="D16" s="12">
        <v>3900040717</v>
      </c>
      <c r="E16" s="11" t="s">
        <v>517</v>
      </c>
      <c r="F16" s="10">
        <f>0.033+0.006</f>
        <v>3.9E-2</v>
      </c>
      <c r="G16" s="10" t="s">
        <v>13</v>
      </c>
      <c r="H16" s="329"/>
      <c r="I16" s="329"/>
      <c r="J16" s="329"/>
      <c r="K16" s="338"/>
      <c r="L16" s="338"/>
      <c r="M16" s="338"/>
      <c r="N16" s="338"/>
    </row>
    <row r="17" spans="1:20" ht="75" customHeight="1" x14ac:dyDescent="0.25">
      <c r="A17" s="29">
        <v>2</v>
      </c>
      <c r="B17" s="82" t="s">
        <v>32</v>
      </c>
      <c r="C17" s="10" t="s">
        <v>6</v>
      </c>
      <c r="D17" s="12">
        <v>3800038831</v>
      </c>
      <c r="E17" s="11" t="s">
        <v>694</v>
      </c>
      <c r="F17" s="10">
        <v>0.185</v>
      </c>
      <c r="G17" s="10" t="s">
        <v>13</v>
      </c>
      <c r="H17" s="329"/>
      <c r="I17" s="329"/>
      <c r="J17" s="329"/>
      <c r="K17" s="330"/>
      <c r="L17" s="330"/>
      <c r="M17" s="330"/>
      <c r="N17" s="330"/>
    </row>
    <row r="18" spans="1:20" ht="75" customHeight="1" x14ac:dyDescent="0.25">
      <c r="A18" s="29">
        <v>10</v>
      </c>
      <c r="B18" s="82" t="s">
        <v>47</v>
      </c>
      <c r="C18" s="10" t="s">
        <v>6</v>
      </c>
      <c r="D18" s="12">
        <v>3900041568</v>
      </c>
      <c r="E18" s="11" t="s">
        <v>697</v>
      </c>
      <c r="F18" s="10">
        <v>30.08</v>
      </c>
      <c r="G18" s="10" t="s">
        <v>13</v>
      </c>
      <c r="H18" s="329"/>
      <c r="I18" s="329"/>
      <c r="J18" s="329"/>
      <c r="K18" s="338"/>
      <c r="L18" s="338"/>
      <c r="M18" s="338"/>
      <c r="N18" s="338"/>
    </row>
    <row r="19" spans="1:20" ht="75" customHeight="1" x14ac:dyDescent="0.25">
      <c r="A19" s="29">
        <v>0</v>
      </c>
      <c r="B19" s="82" t="s">
        <v>47</v>
      </c>
      <c r="C19" s="10" t="s">
        <v>6</v>
      </c>
      <c r="D19" s="12">
        <v>3900041567</v>
      </c>
      <c r="E19" s="11" t="s">
        <v>700</v>
      </c>
      <c r="F19" s="10">
        <v>25.568000000000001</v>
      </c>
      <c r="G19" s="10" t="s">
        <v>13</v>
      </c>
      <c r="H19" s="329"/>
      <c r="I19" s="329"/>
      <c r="J19" s="329"/>
      <c r="K19" s="338"/>
      <c r="L19" s="338"/>
      <c r="M19" s="338"/>
      <c r="N19" s="338"/>
    </row>
    <row r="20" spans="1:20" ht="75" customHeight="1" x14ac:dyDescent="0.25">
      <c r="A20" s="10">
        <v>3</v>
      </c>
      <c r="B20" s="82" t="s">
        <v>47</v>
      </c>
      <c r="C20" s="10" t="s">
        <v>80</v>
      </c>
      <c r="D20" s="10">
        <v>3900041381</v>
      </c>
      <c r="E20" s="31" t="s">
        <v>698</v>
      </c>
      <c r="F20" s="10">
        <v>3.78</v>
      </c>
      <c r="G20" s="10" t="s">
        <v>13</v>
      </c>
      <c r="H20" s="329"/>
      <c r="I20" s="329"/>
      <c r="J20" s="329"/>
      <c r="K20" s="338"/>
      <c r="L20" s="338"/>
      <c r="M20" s="338"/>
      <c r="N20" s="338"/>
    </row>
    <row r="21" spans="1:20" ht="75" customHeight="1" x14ac:dyDescent="0.25">
      <c r="A21" s="10">
        <v>0</v>
      </c>
      <c r="B21" s="82" t="s">
        <v>47</v>
      </c>
      <c r="C21" s="10" t="s">
        <v>224</v>
      </c>
      <c r="D21" s="12" t="s">
        <v>232</v>
      </c>
      <c r="E21" s="31" t="s">
        <v>699</v>
      </c>
      <c r="F21" s="10">
        <v>3.78</v>
      </c>
      <c r="G21" s="10" t="s">
        <v>13</v>
      </c>
      <c r="H21" s="329"/>
      <c r="I21" s="329"/>
      <c r="J21" s="329"/>
      <c r="K21" s="338"/>
      <c r="L21" s="338"/>
      <c r="M21" s="338"/>
      <c r="N21" s="338"/>
    </row>
    <row r="22" spans="1:20" ht="75" customHeight="1" x14ac:dyDescent="0.25">
      <c r="A22" s="10">
        <v>2</v>
      </c>
      <c r="B22" s="82" t="s">
        <v>686</v>
      </c>
      <c r="C22" s="10" t="s">
        <v>31</v>
      </c>
      <c r="D22" s="12">
        <v>3000132538</v>
      </c>
      <c r="E22" s="11" t="s">
        <v>687</v>
      </c>
      <c r="F22" s="10">
        <v>1.504</v>
      </c>
      <c r="G22" s="10" t="s">
        <v>13</v>
      </c>
      <c r="H22" s="339"/>
      <c r="I22" s="339"/>
      <c r="J22" s="339"/>
      <c r="K22" s="330"/>
      <c r="L22" s="330"/>
      <c r="M22" s="330"/>
      <c r="N22" s="330"/>
    </row>
    <row r="23" spans="1:20" s="19" customFormat="1" x14ac:dyDescent="0.25">
      <c r="A23" s="8"/>
      <c r="B23" s="343" t="s">
        <v>704</v>
      </c>
      <c r="C23" s="343"/>
      <c r="D23" s="343"/>
      <c r="E23" s="343"/>
      <c r="F23" s="343"/>
      <c r="G23" s="343"/>
      <c r="H23" s="343"/>
      <c r="I23" s="343"/>
      <c r="J23" s="343"/>
      <c r="K23" s="343"/>
      <c r="L23" s="343"/>
      <c r="M23" s="343"/>
      <c r="N23" s="343"/>
    </row>
    <row r="24" spans="1:20" ht="75" customHeight="1" x14ac:dyDescent="0.25">
      <c r="A24" s="10">
        <v>2</v>
      </c>
      <c r="B24" s="140" t="s">
        <v>49</v>
      </c>
      <c r="C24" s="10" t="s">
        <v>6</v>
      </c>
      <c r="D24" s="10">
        <v>3300033130</v>
      </c>
      <c r="E24" s="11" t="s">
        <v>288</v>
      </c>
      <c r="F24" s="10">
        <v>0</v>
      </c>
      <c r="G24" s="10" t="s">
        <v>13</v>
      </c>
      <c r="H24" s="340" t="s">
        <v>679</v>
      </c>
      <c r="I24" s="341"/>
      <c r="J24" s="342"/>
      <c r="K24" s="338"/>
      <c r="L24" s="338"/>
      <c r="M24" s="338"/>
      <c r="N24" s="338"/>
    </row>
    <row r="25" spans="1:20" ht="75" customHeight="1" x14ac:dyDescent="0.25">
      <c r="A25" s="10">
        <v>2</v>
      </c>
      <c r="B25" s="140" t="s">
        <v>49</v>
      </c>
      <c r="C25" s="10" t="s">
        <v>11</v>
      </c>
      <c r="D25" s="12">
        <v>3000131566</v>
      </c>
      <c r="E25" s="11" t="s">
        <v>350</v>
      </c>
      <c r="F25" s="10">
        <v>0</v>
      </c>
      <c r="G25" s="10" t="s">
        <v>13</v>
      </c>
      <c r="H25" s="340" t="s">
        <v>679</v>
      </c>
      <c r="I25" s="341"/>
      <c r="J25" s="342"/>
      <c r="K25" s="338"/>
      <c r="L25" s="338"/>
      <c r="M25" s="338"/>
      <c r="N25" s="338"/>
    </row>
    <row r="26" spans="1:20" ht="75" customHeight="1" x14ac:dyDescent="0.25">
      <c r="A26" s="29">
        <v>2</v>
      </c>
      <c r="B26" s="140" t="s">
        <v>36</v>
      </c>
      <c r="C26" s="10" t="s">
        <v>6</v>
      </c>
      <c r="D26" s="12">
        <v>3900042524</v>
      </c>
      <c r="E26" s="11" t="s">
        <v>683</v>
      </c>
      <c r="F26" s="10">
        <v>3.44</v>
      </c>
      <c r="G26" s="208" t="s">
        <v>13</v>
      </c>
      <c r="H26" s="329" t="s">
        <v>395</v>
      </c>
      <c r="I26" s="329"/>
      <c r="J26" s="329"/>
      <c r="K26" s="330"/>
      <c r="L26" s="330"/>
      <c r="M26" s="330"/>
      <c r="N26" s="330"/>
    </row>
    <row r="27" spans="1:20" ht="75" customHeight="1" x14ac:dyDescent="0.25">
      <c r="A27" s="29">
        <v>2</v>
      </c>
      <c r="B27" s="140" t="s">
        <v>37</v>
      </c>
      <c r="C27" s="10" t="s">
        <v>31</v>
      </c>
      <c r="D27" s="12">
        <v>3900043039</v>
      </c>
      <c r="E27" s="11" t="s">
        <v>689</v>
      </c>
      <c r="F27" s="10">
        <v>2.7E-2</v>
      </c>
      <c r="G27" s="10" t="s">
        <v>13</v>
      </c>
      <c r="H27" s="329" t="s">
        <v>395</v>
      </c>
      <c r="I27" s="329"/>
      <c r="J27" s="329"/>
      <c r="K27" s="330"/>
      <c r="L27" s="330"/>
      <c r="M27" s="330"/>
      <c r="N27" s="330"/>
    </row>
    <row r="28" spans="1:20" ht="75" customHeight="1" x14ac:dyDescent="0.25">
      <c r="A28" s="10">
        <v>4</v>
      </c>
      <c r="B28" s="140" t="s">
        <v>3</v>
      </c>
      <c r="C28" s="10" t="s">
        <v>6</v>
      </c>
      <c r="D28" s="12" t="s">
        <v>158</v>
      </c>
      <c r="E28" s="11" t="s">
        <v>680</v>
      </c>
      <c r="F28" s="10">
        <v>0.22</v>
      </c>
      <c r="G28" s="10" t="s">
        <v>13</v>
      </c>
      <c r="H28" s="344" t="s">
        <v>395</v>
      </c>
      <c r="I28" s="345"/>
      <c r="J28" s="346"/>
      <c r="K28" s="338"/>
      <c r="L28" s="338"/>
      <c r="M28" s="338"/>
      <c r="N28" s="338"/>
    </row>
    <row r="29" spans="1:20" ht="75" customHeight="1" x14ac:dyDescent="0.25">
      <c r="A29" s="29">
        <v>2</v>
      </c>
      <c r="B29" s="140" t="s">
        <v>3</v>
      </c>
      <c r="C29" s="10" t="s">
        <v>51</v>
      </c>
      <c r="D29" s="12">
        <v>3300033749</v>
      </c>
      <c r="E29" s="11" t="s">
        <v>690</v>
      </c>
      <c r="F29" s="10">
        <v>0.55000000000000004</v>
      </c>
      <c r="G29" s="10" t="s">
        <v>13</v>
      </c>
      <c r="H29" s="329" t="s">
        <v>395</v>
      </c>
      <c r="I29" s="329"/>
      <c r="J29" s="329"/>
      <c r="K29" s="330"/>
      <c r="L29" s="330"/>
      <c r="M29" s="330"/>
      <c r="N29" s="330"/>
    </row>
    <row r="30" spans="1:20" ht="75" customHeight="1" x14ac:dyDescent="0.25">
      <c r="A30" s="10">
        <v>2</v>
      </c>
      <c r="B30" s="140" t="s">
        <v>41</v>
      </c>
      <c r="C30" s="10" t="s">
        <v>6</v>
      </c>
      <c r="D30" s="12">
        <v>3000133820</v>
      </c>
      <c r="E30" s="11" t="s">
        <v>516</v>
      </c>
      <c r="F30" s="10">
        <v>1.034</v>
      </c>
      <c r="G30" s="10" t="s">
        <v>13</v>
      </c>
      <c r="H30" s="347"/>
      <c r="I30" s="348"/>
      <c r="J30" s="349"/>
      <c r="K30" s="338"/>
      <c r="L30" s="338"/>
      <c r="M30" s="338"/>
      <c r="N30" s="338"/>
    </row>
    <row r="31" spans="1:20" ht="75" customHeight="1" x14ac:dyDescent="0.25">
      <c r="A31" s="29">
        <v>2</v>
      </c>
      <c r="B31" s="140" t="s">
        <v>45</v>
      </c>
      <c r="C31" s="10" t="s">
        <v>6</v>
      </c>
      <c r="D31" s="12">
        <v>3000134072</v>
      </c>
      <c r="E31" s="11" t="s">
        <v>692</v>
      </c>
      <c r="F31" s="10">
        <v>0.112</v>
      </c>
      <c r="G31" s="10" t="s">
        <v>13</v>
      </c>
      <c r="H31" s="329" t="s">
        <v>395</v>
      </c>
      <c r="I31" s="329"/>
      <c r="J31" s="329"/>
      <c r="K31" s="330"/>
      <c r="L31" s="330"/>
      <c r="M31" s="330"/>
      <c r="N31" s="330"/>
    </row>
    <row r="32" spans="1:20" ht="75" customHeight="1" x14ac:dyDescent="0.25">
      <c r="A32" s="29">
        <v>2</v>
      </c>
      <c r="B32" s="140" t="s">
        <v>5</v>
      </c>
      <c r="C32" s="10" t="s">
        <v>6</v>
      </c>
      <c r="D32" s="12">
        <v>3900041306</v>
      </c>
      <c r="E32" s="11" t="s">
        <v>602</v>
      </c>
      <c r="F32" s="10">
        <v>0.22</v>
      </c>
      <c r="G32" s="10" t="s">
        <v>13</v>
      </c>
      <c r="H32" s="329" t="s">
        <v>395</v>
      </c>
      <c r="I32" s="329"/>
      <c r="J32" s="329"/>
      <c r="K32" s="338"/>
      <c r="L32" s="338"/>
      <c r="M32" s="338"/>
      <c r="N32" s="338"/>
      <c r="O32" s="335"/>
      <c r="P32" s="336"/>
      <c r="Q32" s="336"/>
      <c r="R32" s="336"/>
      <c r="S32" s="336"/>
      <c r="T32" s="336"/>
    </row>
    <row r="33" spans="1:14" ht="75" customHeight="1" x14ac:dyDescent="0.25">
      <c r="A33" s="29">
        <v>2</v>
      </c>
      <c r="B33" s="140" t="s">
        <v>47</v>
      </c>
      <c r="C33" s="10" t="s">
        <v>43</v>
      </c>
      <c r="D33" s="12">
        <v>3100031028</v>
      </c>
      <c r="E33" s="11" t="s">
        <v>702</v>
      </c>
      <c r="F33" s="10">
        <v>1.62</v>
      </c>
      <c r="G33" s="10" t="s">
        <v>13</v>
      </c>
      <c r="H33" s="329" t="s">
        <v>395</v>
      </c>
      <c r="I33" s="329"/>
      <c r="J33" s="329"/>
      <c r="K33" s="330"/>
      <c r="L33" s="330"/>
      <c r="M33" s="330"/>
      <c r="N33" s="330"/>
    </row>
    <row r="34" spans="1:14" s="19" customFormat="1" x14ac:dyDescent="0.25">
      <c r="A34" s="8"/>
      <c r="B34" s="337" t="s">
        <v>75</v>
      </c>
      <c r="C34" s="337"/>
      <c r="D34" s="337"/>
      <c r="E34" s="337"/>
      <c r="F34" s="337"/>
      <c r="G34" s="337"/>
      <c r="H34" s="337"/>
      <c r="I34" s="337"/>
      <c r="J34" s="337"/>
      <c r="K34" s="337"/>
      <c r="L34" s="337"/>
      <c r="M34" s="337"/>
      <c r="N34" s="337"/>
    </row>
    <row r="35" spans="1:14" ht="75" customHeight="1" x14ac:dyDescent="0.25">
      <c r="A35" s="10">
        <v>5</v>
      </c>
      <c r="B35" s="139" t="s">
        <v>49</v>
      </c>
      <c r="C35" s="10" t="s">
        <v>31</v>
      </c>
      <c r="D35" s="10" t="s">
        <v>285</v>
      </c>
      <c r="E35" s="11" t="s">
        <v>681</v>
      </c>
      <c r="F35" s="10">
        <v>0</v>
      </c>
      <c r="G35" s="10" t="s">
        <v>13</v>
      </c>
      <c r="H35" s="329"/>
      <c r="I35" s="329"/>
      <c r="J35" s="329"/>
      <c r="K35" s="338"/>
      <c r="L35" s="338"/>
      <c r="M35" s="338"/>
      <c r="N35" s="338"/>
    </row>
    <row r="36" spans="1:14" ht="75" customHeight="1" x14ac:dyDescent="0.25">
      <c r="A36" s="207">
        <v>5</v>
      </c>
      <c r="B36" s="139" t="s">
        <v>49</v>
      </c>
      <c r="C36" s="10" t="s">
        <v>31</v>
      </c>
      <c r="D36" s="12" t="s">
        <v>150</v>
      </c>
      <c r="E36" s="11" t="s">
        <v>287</v>
      </c>
      <c r="F36" s="10">
        <v>0</v>
      </c>
      <c r="G36" s="10" t="s">
        <v>13</v>
      </c>
      <c r="H36" s="329"/>
      <c r="I36" s="329"/>
      <c r="J36" s="329"/>
      <c r="K36" s="338"/>
      <c r="L36" s="338"/>
      <c r="M36" s="338"/>
      <c r="N36" s="338"/>
    </row>
    <row r="37" spans="1:14" ht="75" customHeight="1" x14ac:dyDescent="0.25">
      <c r="A37" s="29">
        <v>2</v>
      </c>
      <c r="B37" s="139" t="s">
        <v>36</v>
      </c>
      <c r="C37" s="10" t="s">
        <v>31</v>
      </c>
      <c r="D37" s="12" t="s">
        <v>684</v>
      </c>
      <c r="E37" s="11" t="s">
        <v>685</v>
      </c>
      <c r="F37" s="10">
        <v>0.02</v>
      </c>
      <c r="G37" s="208" t="s">
        <v>13</v>
      </c>
      <c r="H37" s="329" t="s">
        <v>395</v>
      </c>
      <c r="I37" s="329"/>
      <c r="J37" s="329"/>
      <c r="K37" s="330"/>
      <c r="L37" s="330"/>
      <c r="M37" s="330"/>
      <c r="N37" s="330"/>
    </row>
    <row r="38" spans="1:14" ht="75" customHeight="1" x14ac:dyDescent="0.25">
      <c r="A38" s="29">
        <v>2</v>
      </c>
      <c r="B38" s="139" t="s">
        <v>27</v>
      </c>
      <c r="C38" s="10" t="s">
        <v>31</v>
      </c>
      <c r="D38" s="12">
        <v>3000132198</v>
      </c>
      <c r="E38" s="11" t="s">
        <v>691</v>
      </c>
      <c r="F38" s="10">
        <v>0</v>
      </c>
      <c r="G38" s="10" t="s">
        <v>13</v>
      </c>
      <c r="H38" s="329" t="s">
        <v>395</v>
      </c>
      <c r="I38" s="329"/>
      <c r="J38" s="329"/>
      <c r="K38" s="330"/>
      <c r="L38" s="330"/>
      <c r="M38" s="330"/>
      <c r="N38" s="330"/>
    </row>
    <row r="39" spans="1:14" ht="75" customHeight="1" x14ac:dyDescent="0.25">
      <c r="A39" s="207">
        <v>2</v>
      </c>
      <c r="B39" s="139" t="s">
        <v>4</v>
      </c>
      <c r="C39" s="10" t="s">
        <v>31</v>
      </c>
      <c r="D39" s="12">
        <v>3100031148</v>
      </c>
      <c r="E39" s="11" t="s">
        <v>518</v>
      </c>
      <c r="F39" s="10">
        <v>0.6</v>
      </c>
      <c r="G39" s="10" t="s">
        <v>13</v>
      </c>
      <c r="H39" s="329" t="s">
        <v>395</v>
      </c>
      <c r="I39" s="329"/>
      <c r="J39" s="329"/>
      <c r="K39" s="330"/>
      <c r="L39" s="330"/>
      <c r="M39" s="330"/>
      <c r="N39" s="330"/>
    </row>
    <row r="40" spans="1:14" ht="75" customHeight="1" x14ac:dyDescent="0.25">
      <c r="A40" s="207">
        <v>2</v>
      </c>
      <c r="B40" s="139" t="s">
        <v>4</v>
      </c>
      <c r="C40" s="10" t="s">
        <v>31</v>
      </c>
      <c r="D40" s="12">
        <v>3000030004</v>
      </c>
      <c r="E40" s="11" t="s">
        <v>519</v>
      </c>
      <c r="F40" s="10">
        <v>7.4999999999999997E-2</v>
      </c>
      <c r="G40" s="10" t="s">
        <v>13</v>
      </c>
      <c r="H40" s="329" t="s">
        <v>395</v>
      </c>
      <c r="I40" s="329"/>
      <c r="J40" s="329"/>
      <c r="K40" s="330"/>
      <c r="L40" s="330"/>
      <c r="M40" s="330"/>
      <c r="N40" s="330"/>
    </row>
    <row r="41" spans="1:14" ht="75" customHeight="1" x14ac:dyDescent="0.25">
      <c r="A41" s="207">
        <v>2</v>
      </c>
      <c r="B41" s="139" t="s">
        <v>57</v>
      </c>
      <c r="C41" s="10" t="s">
        <v>6</v>
      </c>
      <c r="D41" s="12">
        <v>3000132621</v>
      </c>
      <c r="E41" s="11" t="s">
        <v>522</v>
      </c>
      <c r="F41" s="10">
        <v>9.8000000000000004E-2</v>
      </c>
      <c r="G41" s="10" t="s">
        <v>13</v>
      </c>
      <c r="H41" s="329" t="s">
        <v>395</v>
      </c>
      <c r="I41" s="329"/>
      <c r="J41" s="329"/>
      <c r="K41" s="338"/>
      <c r="L41" s="338"/>
      <c r="M41" s="338"/>
      <c r="N41" s="338"/>
    </row>
    <row r="42" spans="1:14" ht="75" customHeight="1" x14ac:dyDescent="0.25">
      <c r="A42" s="207">
        <v>2</v>
      </c>
      <c r="B42" s="139" t="s">
        <v>50</v>
      </c>
      <c r="C42" s="10" t="s">
        <v>31</v>
      </c>
      <c r="D42" s="12">
        <v>3800038317</v>
      </c>
      <c r="E42" s="11" t="s">
        <v>394</v>
      </c>
      <c r="F42" s="10">
        <v>0</v>
      </c>
      <c r="G42" s="10" t="s">
        <v>13</v>
      </c>
      <c r="H42" s="240"/>
      <c r="I42" s="240"/>
      <c r="J42" s="240"/>
      <c r="K42" s="338"/>
      <c r="L42" s="338"/>
      <c r="M42" s="338"/>
      <c r="N42" s="338"/>
    </row>
    <row r="43" spans="1:14" ht="75" customHeight="1" x14ac:dyDescent="0.25">
      <c r="A43" s="207">
        <v>2</v>
      </c>
      <c r="B43" s="139" t="s">
        <v>42</v>
      </c>
      <c r="C43" s="10" t="s">
        <v>6</v>
      </c>
      <c r="D43" s="12" t="s">
        <v>473</v>
      </c>
      <c r="E43" s="11" t="s">
        <v>342</v>
      </c>
      <c r="F43" s="10">
        <v>0.2</v>
      </c>
      <c r="G43" s="10" t="s">
        <v>13</v>
      </c>
      <c r="H43" s="329" t="s">
        <v>395</v>
      </c>
      <c r="I43" s="329"/>
      <c r="J43" s="329"/>
      <c r="K43" s="338"/>
      <c r="L43" s="338"/>
      <c r="M43" s="338"/>
      <c r="N43" s="338"/>
    </row>
    <row r="44" spans="1:14" ht="75" customHeight="1" x14ac:dyDescent="0.25">
      <c r="A44" s="207">
        <v>2</v>
      </c>
      <c r="B44" s="139" t="s">
        <v>45</v>
      </c>
      <c r="C44" s="10" t="s">
        <v>6</v>
      </c>
      <c r="D44" s="12">
        <v>3000133739</v>
      </c>
      <c r="E44" s="11" t="s">
        <v>846</v>
      </c>
      <c r="F44" s="10">
        <v>0.105</v>
      </c>
      <c r="G44" s="10"/>
      <c r="H44" s="329" t="s">
        <v>395</v>
      </c>
      <c r="I44" s="329"/>
      <c r="J44" s="329"/>
      <c r="K44" s="338"/>
      <c r="L44" s="338"/>
      <c r="M44" s="338"/>
      <c r="N44" s="338"/>
    </row>
    <row r="45" spans="1:14" ht="75" customHeight="1" x14ac:dyDescent="0.25">
      <c r="A45" s="207">
        <v>2</v>
      </c>
      <c r="B45" s="139" t="s">
        <v>50</v>
      </c>
      <c r="C45" s="10" t="s">
        <v>471</v>
      </c>
      <c r="D45" s="12">
        <v>3900039014</v>
      </c>
      <c r="E45" s="11" t="s">
        <v>474</v>
      </c>
      <c r="F45" s="10">
        <v>0</v>
      </c>
      <c r="G45" s="10" t="s">
        <v>13</v>
      </c>
      <c r="H45" s="329" t="s">
        <v>395</v>
      </c>
      <c r="I45" s="329"/>
      <c r="J45" s="329"/>
      <c r="K45" s="330"/>
      <c r="L45" s="330"/>
      <c r="M45" s="330"/>
      <c r="N45" s="330"/>
    </row>
    <row r="46" spans="1:14" ht="75" customHeight="1" x14ac:dyDescent="0.25">
      <c r="A46" s="29">
        <v>2</v>
      </c>
      <c r="B46" s="139" t="s">
        <v>46</v>
      </c>
      <c r="C46" s="10" t="s">
        <v>31</v>
      </c>
      <c r="D46" s="12">
        <v>3200032156</v>
      </c>
      <c r="E46" s="11" t="s">
        <v>695</v>
      </c>
      <c r="F46" s="10">
        <v>0.14000000000000001</v>
      </c>
      <c r="G46" s="10" t="s">
        <v>13</v>
      </c>
      <c r="H46" s="332" t="s">
        <v>693</v>
      </c>
      <c r="I46" s="333"/>
      <c r="J46" s="334"/>
      <c r="K46" s="330"/>
      <c r="L46" s="330"/>
      <c r="M46" s="330"/>
      <c r="N46" s="330"/>
    </row>
    <row r="47" spans="1:14" ht="75" customHeight="1" x14ac:dyDescent="0.25">
      <c r="A47" s="29">
        <v>2</v>
      </c>
      <c r="B47" s="139" t="s">
        <v>47</v>
      </c>
      <c r="C47" s="10" t="s">
        <v>696</v>
      </c>
      <c r="D47" s="12">
        <v>3500035259</v>
      </c>
      <c r="E47" s="11" t="s">
        <v>701</v>
      </c>
      <c r="F47" s="10">
        <v>1.29</v>
      </c>
      <c r="G47" s="10" t="s">
        <v>13</v>
      </c>
      <c r="H47" s="329" t="s">
        <v>395</v>
      </c>
      <c r="I47" s="329"/>
      <c r="J47" s="329"/>
      <c r="K47" s="330"/>
      <c r="L47" s="330"/>
      <c r="M47" s="330"/>
      <c r="N47" s="330"/>
    </row>
    <row r="48" spans="1:14" x14ac:dyDescent="0.25">
      <c r="G48" s="108"/>
    </row>
    <row r="49" spans="7:7" x14ac:dyDescent="0.25">
      <c r="G49" s="108"/>
    </row>
  </sheetData>
  <autoFilter ref="A3:N47" xr:uid="{3736B44B-E62E-485F-B9E1-F807908551FE}">
    <filterColumn colId="7" showButton="0"/>
    <filterColumn colId="8" showButton="0"/>
    <filterColumn colId="10" showButton="0"/>
    <filterColumn colId="11" showButton="0"/>
    <filterColumn colId="12" showButton="0"/>
  </autoFilter>
  <mergeCells count="95">
    <mergeCell ref="B6:N6"/>
    <mergeCell ref="H3:J3"/>
    <mergeCell ref="K7:N7"/>
    <mergeCell ref="H14:J14"/>
    <mergeCell ref="H11:J11"/>
    <mergeCell ref="K11:N11"/>
    <mergeCell ref="K14:N14"/>
    <mergeCell ref="K9:N9"/>
    <mergeCell ref="H9:J9"/>
    <mergeCell ref="H7:J7"/>
    <mergeCell ref="H10:J10"/>
    <mergeCell ref="K10:N10"/>
    <mergeCell ref="H12:J12"/>
    <mergeCell ref="K12:N12"/>
    <mergeCell ref="H13:J13"/>
    <mergeCell ref="K13:N13"/>
    <mergeCell ref="B1:D2"/>
    <mergeCell ref="F1:G2"/>
    <mergeCell ref="H5:J5"/>
    <mergeCell ref="K5:N5"/>
    <mergeCell ref="H4:J4"/>
    <mergeCell ref="K4:N4"/>
    <mergeCell ref="J1:N1"/>
    <mergeCell ref="J2:N2"/>
    <mergeCell ref="H1:I1"/>
    <mergeCell ref="H2:I2"/>
    <mergeCell ref="E1:E2"/>
    <mergeCell ref="K3:N3"/>
    <mergeCell ref="H31:J31"/>
    <mergeCell ref="H18:J18"/>
    <mergeCell ref="H19:J19"/>
    <mergeCell ref="H26:J26"/>
    <mergeCell ref="H27:J27"/>
    <mergeCell ref="H29:J29"/>
    <mergeCell ref="H24:J24"/>
    <mergeCell ref="B23:N23"/>
    <mergeCell ref="K28:N28"/>
    <mergeCell ref="H20:J20"/>
    <mergeCell ref="H21:J21"/>
    <mergeCell ref="K20:N20"/>
    <mergeCell ref="H25:J25"/>
    <mergeCell ref="H28:J28"/>
    <mergeCell ref="H30:J30"/>
    <mergeCell ref="K30:N30"/>
    <mergeCell ref="K15:N15"/>
    <mergeCell ref="H22:J22"/>
    <mergeCell ref="K16:N16"/>
    <mergeCell ref="K25:N25"/>
    <mergeCell ref="K24:N24"/>
    <mergeCell ref="K21:N21"/>
    <mergeCell ref="K22:N22"/>
    <mergeCell ref="K18:N18"/>
    <mergeCell ref="K19:N19"/>
    <mergeCell ref="H16:J16"/>
    <mergeCell ref="H15:J15"/>
    <mergeCell ref="K41:N41"/>
    <mergeCell ref="K45:N45"/>
    <mergeCell ref="K43:N43"/>
    <mergeCell ref="K42:N42"/>
    <mergeCell ref="K36:N36"/>
    <mergeCell ref="K44:N44"/>
    <mergeCell ref="H45:J45"/>
    <mergeCell ref="H39:J39"/>
    <mergeCell ref="H40:J40"/>
    <mergeCell ref="H43:J43"/>
    <mergeCell ref="H42:J42"/>
    <mergeCell ref="H41:J41"/>
    <mergeCell ref="H44:J44"/>
    <mergeCell ref="O32:T32"/>
    <mergeCell ref="K39:N39"/>
    <mergeCell ref="K40:N40"/>
    <mergeCell ref="H35:J35"/>
    <mergeCell ref="B34:N34"/>
    <mergeCell ref="K35:N35"/>
    <mergeCell ref="H37:J37"/>
    <mergeCell ref="K32:N32"/>
    <mergeCell ref="H32:J32"/>
    <mergeCell ref="H36:J36"/>
    <mergeCell ref="H38:J38"/>
    <mergeCell ref="H47:J47"/>
    <mergeCell ref="H33:J33"/>
    <mergeCell ref="K8:N8"/>
    <mergeCell ref="K26:N26"/>
    <mergeCell ref="K37:N37"/>
    <mergeCell ref="K27:N27"/>
    <mergeCell ref="K29:N29"/>
    <mergeCell ref="K38:N38"/>
    <mergeCell ref="K31:N31"/>
    <mergeCell ref="K17:N17"/>
    <mergeCell ref="K46:N46"/>
    <mergeCell ref="K47:N47"/>
    <mergeCell ref="K33:N33"/>
    <mergeCell ref="H8:J8"/>
    <mergeCell ref="H46:J46"/>
    <mergeCell ref="H17:J17"/>
  </mergeCells>
  <phoneticPr fontId="2" type="noConversion"/>
  <conditionalFormatting sqref="D1:D1048576">
    <cfRule type="duplicateValues" dxfId="16" priority="6"/>
  </conditionalFormatting>
  <conditionalFormatting sqref="D20 D14 D10">
    <cfRule type="duplicateValues" dxfId="15" priority="1644"/>
  </conditionalFormatting>
  <conditionalFormatting sqref="D30 D14 D10 D20">
    <cfRule type="duplicateValues" dxfId="14" priority="2007"/>
  </conditionalFormatting>
  <conditionalFormatting sqref="D30">
    <cfRule type="duplicateValues" dxfId="13" priority="2011"/>
  </conditionalFormatting>
  <conditionalFormatting sqref="D35:D1048576 D24:D33 D4:D5 D7:D22">
    <cfRule type="duplicateValues" dxfId="12" priority="1949"/>
  </conditionalFormatting>
  <pageMargins left="0.23622047244094491" right="0.23622047244094491" top="0.74803149606299213" bottom="0.74803149606299213" header="0.31496062992125984" footer="0.31496062992125984"/>
  <pageSetup paperSize="8" scale="3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3EE59-63E2-4709-92DF-83D85A42DC46}">
  <sheetPr codeName="Sheet41">
    <pageSetUpPr fitToPage="1"/>
  </sheetPr>
  <dimension ref="A1:I61"/>
  <sheetViews>
    <sheetView view="pageBreakPreview" zoomScale="40" zoomScaleNormal="90" zoomScaleSheetLayoutView="40" workbookViewId="0">
      <pane ySplit="3" topLeftCell="A35" activePane="bottomLeft" state="frozen"/>
      <selection activeCell="D160" sqref="D160"/>
      <selection pane="bottomLeft" activeCell="B10" sqref="B10:E12"/>
    </sheetView>
  </sheetViews>
  <sheetFormatPr defaultColWidth="31.88671875" defaultRowHeight="37.799999999999997" x14ac:dyDescent="0.25"/>
  <cols>
    <col min="1" max="1" width="29.109375" style="29" bestFit="1" customWidth="1"/>
    <col min="2" max="2" width="45.5546875" style="28" bestFit="1" customWidth="1"/>
    <col min="3" max="3" width="13.33203125" style="29" customWidth="1"/>
    <col min="4" max="4" width="34.109375" style="29" bestFit="1" customWidth="1"/>
    <col min="5" max="5" width="132" style="42" bestFit="1" customWidth="1"/>
    <col min="6" max="6" width="36.33203125" style="29" bestFit="1" customWidth="1"/>
    <col min="7" max="7" width="25.5546875" style="29" bestFit="1" customWidth="1"/>
    <col min="8" max="8" width="54.109375" style="29" customWidth="1"/>
    <col min="9" max="9" width="43.6640625" style="29" bestFit="1" customWidth="1"/>
    <col min="10" max="16384" width="31.88671875" style="29"/>
  </cols>
  <sheetData>
    <row r="1" spans="1:9" s="19" customFormat="1" x14ac:dyDescent="0.25">
      <c r="A1" s="73"/>
      <c r="B1" s="240" t="s">
        <v>713</v>
      </c>
      <c r="C1" s="240"/>
      <c r="D1" s="240"/>
      <c r="E1" s="367" t="s">
        <v>20</v>
      </c>
      <c r="F1" s="363">
        <f ca="1">TODAY()+1</f>
        <v>46175</v>
      </c>
      <c r="G1" s="379"/>
      <c r="H1" s="73" t="s">
        <v>16</v>
      </c>
      <c r="I1" s="48">
        <f ca="1">F1+1</f>
        <v>46176</v>
      </c>
    </row>
    <row r="2" spans="1:9" s="19" customFormat="1" x14ac:dyDescent="0.25">
      <c r="A2" s="48"/>
      <c r="B2" s="240"/>
      <c r="C2" s="240"/>
      <c r="D2" s="240"/>
      <c r="E2" s="368"/>
      <c r="F2" s="380"/>
      <c r="G2" s="381"/>
      <c r="H2" s="73" t="s">
        <v>17</v>
      </c>
      <c r="I2" s="48">
        <f ca="1">F1+2</f>
        <v>46177</v>
      </c>
    </row>
    <row r="3" spans="1:9" s="19" customFormat="1" x14ac:dyDescent="0.25">
      <c r="A3" s="106" t="s">
        <v>263</v>
      </c>
      <c r="B3" s="141" t="s">
        <v>0</v>
      </c>
      <c r="C3" s="141" t="s">
        <v>28</v>
      </c>
      <c r="D3" s="141" t="s">
        <v>1</v>
      </c>
      <c r="E3" s="141" t="s">
        <v>2</v>
      </c>
      <c r="F3" s="141" t="s">
        <v>24</v>
      </c>
      <c r="G3" s="141" t="s">
        <v>29</v>
      </c>
      <c r="H3" s="141" t="s">
        <v>68</v>
      </c>
      <c r="I3" s="141" t="s">
        <v>15</v>
      </c>
    </row>
    <row r="4" spans="1:9" x14ac:dyDescent="0.25">
      <c r="A4" s="29">
        <v>1</v>
      </c>
      <c r="B4" s="154" t="s">
        <v>62</v>
      </c>
      <c r="C4" s="10" t="s">
        <v>348</v>
      </c>
      <c r="D4" s="10">
        <v>3100031709</v>
      </c>
      <c r="E4" s="11" t="s">
        <v>583</v>
      </c>
      <c r="F4" s="8">
        <v>33</v>
      </c>
      <c r="G4" s="8" t="s">
        <v>84</v>
      </c>
      <c r="H4" s="10"/>
      <c r="I4" s="10"/>
    </row>
    <row r="5" spans="1:9" x14ac:dyDescent="0.25">
      <c r="B5" s="154" t="s">
        <v>714</v>
      </c>
      <c r="C5" s="10" t="s">
        <v>8</v>
      </c>
      <c r="D5" s="10">
        <v>3000030124</v>
      </c>
      <c r="E5" s="11" t="s">
        <v>325</v>
      </c>
      <c r="F5" s="10">
        <v>0.90300000000000002</v>
      </c>
      <c r="G5" s="10" t="s">
        <v>13</v>
      </c>
      <c r="H5" s="209"/>
      <c r="I5" s="10"/>
    </row>
    <row r="6" spans="1:9" x14ac:dyDescent="0.25">
      <c r="A6" s="29">
        <v>4</v>
      </c>
      <c r="B6" s="154" t="s">
        <v>843</v>
      </c>
      <c r="C6" s="10" t="s">
        <v>6</v>
      </c>
      <c r="D6" s="10">
        <v>3900042987</v>
      </c>
      <c r="E6" s="11" t="s">
        <v>611</v>
      </c>
      <c r="F6" s="10">
        <f>14.28+12</f>
        <v>26.28</v>
      </c>
      <c r="G6" s="10" t="s">
        <v>13</v>
      </c>
      <c r="H6" s="209"/>
      <c r="I6" s="10"/>
    </row>
    <row r="7" spans="1:9" x14ac:dyDescent="0.25">
      <c r="B7" s="142" t="s">
        <v>42</v>
      </c>
      <c r="C7" s="10" t="s">
        <v>34</v>
      </c>
      <c r="D7" s="10">
        <v>3000030100</v>
      </c>
      <c r="E7" s="11" t="s">
        <v>432</v>
      </c>
      <c r="F7" s="10">
        <v>0.42</v>
      </c>
      <c r="G7" s="10" t="s">
        <v>13</v>
      </c>
      <c r="H7" s="196"/>
      <c r="I7" s="10"/>
    </row>
    <row r="8" spans="1:9" x14ac:dyDescent="0.25">
      <c r="A8" s="29">
        <v>1</v>
      </c>
      <c r="B8" s="142" t="s">
        <v>716</v>
      </c>
      <c r="C8" s="10" t="s">
        <v>8</v>
      </c>
      <c r="D8" s="10">
        <v>3900039094</v>
      </c>
      <c r="E8" s="11" t="s">
        <v>270</v>
      </c>
      <c r="F8" s="10">
        <f>0.12+0.315+0.14</f>
        <v>0.57499999999999996</v>
      </c>
      <c r="G8" s="10" t="s">
        <v>13</v>
      </c>
      <c r="H8" s="10"/>
      <c r="I8" s="10"/>
    </row>
    <row r="9" spans="1:9" x14ac:dyDescent="0.25">
      <c r="B9" s="142" t="s">
        <v>41</v>
      </c>
      <c r="C9" s="10" t="s">
        <v>8</v>
      </c>
      <c r="D9" s="10">
        <v>3000134024</v>
      </c>
      <c r="E9" s="11" t="s">
        <v>729</v>
      </c>
      <c r="F9" s="10">
        <v>4.5199999999999996</v>
      </c>
      <c r="G9" s="10" t="s">
        <v>13</v>
      </c>
      <c r="H9" s="10"/>
      <c r="I9" s="10"/>
    </row>
    <row r="10" spans="1:9" x14ac:dyDescent="0.25">
      <c r="B10" s="142" t="s">
        <v>50</v>
      </c>
      <c r="C10" s="10" t="s">
        <v>348</v>
      </c>
      <c r="D10" s="10">
        <v>3200032229</v>
      </c>
      <c r="E10" s="11" t="s">
        <v>426</v>
      </c>
      <c r="F10" s="10">
        <v>0</v>
      </c>
      <c r="G10" s="10" t="s">
        <v>13</v>
      </c>
      <c r="H10" s="196"/>
      <c r="I10" s="10"/>
    </row>
    <row r="11" spans="1:9" x14ac:dyDescent="0.25">
      <c r="B11" s="142" t="s">
        <v>50</v>
      </c>
      <c r="C11" s="10" t="s">
        <v>348</v>
      </c>
      <c r="D11" s="10">
        <v>3100031133</v>
      </c>
      <c r="E11" s="11" t="s">
        <v>425</v>
      </c>
      <c r="F11" s="10">
        <v>0</v>
      </c>
      <c r="G11" s="10" t="s">
        <v>13</v>
      </c>
      <c r="H11" s="196"/>
      <c r="I11" s="10"/>
    </row>
    <row r="12" spans="1:9" ht="75.599999999999994" x14ac:dyDescent="0.25">
      <c r="B12" s="142" t="s">
        <v>27</v>
      </c>
      <c r="C12" s="10" t="s">
        <v>665</v>
      </c>
      <c r="D12" s="10">
        <v>2200022516</v>
      </c>
      <c r="E12" s="31" t="s">
        <v>738</v>
      </c>
      <c r="F12" s="10">
        <v>0</v>
      </c>
      <c r="G12" s="10" t="s">
        <v>13</v>
      </c>
      <c r="H12" s="10"/>
      <c r="I12" s="10"/>
    </row>
    <row r="13" spans="1:9" x14ac:dyDescent="0.25">
      <c r="B13" s="142" t="s">
        <v>37</v>
      </c>
      <c r="C13" s="10" t="s">
        <v>8</v>
      </c>
      <c r="D13" s="10">
        <v>3900041673</v>
      </c>
      <c r="E13" s="11" t="s">
        <v>723</v>
      </c>
      <c r="F13" s="10">
        <f>0.06+0.02</f>
        <v>0.08</v>
      </c>
      <c r="G13" s="10" t="s">
        <v>13</v>
      </c>
      <c r="H13" s="10"/>
      <c r="I13" s="10"/>
    </row>
    <row r="14" spans="1:9" x14ac:dyDescent="0.25">
      <c r="B14" s="142" t="s">
        <v>42</v>
      </c>
      <c r="C14" s="10" t="s">
        <v>6</v>
      </c>
      <c r="D14" s="10">
        <v>3900042841</v>
      </c>
      <c r="E14" s="11" t="s">
        <v>440</v>
      </c>
      <c r="F14" s="10">
        <v>0.4</v>
      </c>
      <c r="G14" s="10" t="s">
        <v>13</v>
      </c>
      <c r="H14" s="10"/>
      <c r="I14" s="10"/>
    </row>
    <row r="15" spans="1:9" x14ac:dyDescent="0.25">
      <c r="B15" s="142" t="s">
        <v>27</v>
      </c>
      <c r="C15" s="10" t="s">
        <v>710</v>
      </c>
      <c r="D15" s="10">
        <v>2200022523</v>
      </c>
      <c r="E15" s="11" t="s">
        <v>739</v>
      </c>
      <c r="F15" s="10">
        <v>0</v>
      </c>
      <c r="G15" s="10" t="s">
        <v>84</v>
      </c>
      <c r="H15" s="10"/>
      <c r="I15" s="10"/>
    </row>
    <row r="16" spans="1:9" x14ac:dyDescent="0.25">
      <c r="B16" s="142" t="s">
        <v>49</v>
      </c>
      <c r="C16" s="10" t="s">
        <v>6</v>
      </c>
      <c r="D16" s="10">
        <v>3900041216</v>
      </c>
      <c r="E16" s="11" t="s">
        <v>757</v>
      </c>
      <c r="F16" s="10">
        <v>0</v>
      </c>
      <c r="G16" s="10" t="s">
        <v>13</v>
      </c>
      <c r="H16" s="210" t="s">
        <v>682</v>
      </c>
    </row>
    <row r="17" spans="1:9" x14ac:dyDescent="0.25">
      <c r="B17" s="142" t="s">
        <v>718</v>
      </c>
      <c r="C17" s="10" t="s">
        <v>7</v>
      </c>
      <c r="D17" s="10">
        <v>3100031368</v>
      </c>
      <c r="E17" s="11" t="s">
        <v>430</v>
      </c>
      <c r="F17" s="10">
        <v>3.8</v>
      </c>
      <c r="G17" s="10" t="s">
        <v>13</v>
      </c>
      <c r="H17" s="196"/>
      <c r="I17" s="10"/>
    </row>
    <row r="18" spans="1:9" x14ac:dyDescent="0.25">
      <c r="A18" s="29">
        <v>1</v>
      </c>
      <c r="B18" s="142" t="s">
        <v>41</v>
      </c>
      <c r="C18" s="10" t="s">
        <v>6</v>
      </c>
      <c r="D18" s="10">
        <v>3000133821</v>
      </c>
      <c r="E18" s="11" t="s">
        <v>269</v>
      </c>
      <c r="F18" s="10">
        <v>0.48</v>
      </c>
      <c r="G18" s="10" t="s">
        <v>13</v>
      </c>
      <c r="H18" s="10"/>
      <c r="I18" s="10"/>
    </row>
    <row r="19" spans="1:9" x14ac:dyDescent="0.25">
      <c r="B19" s="142" t="s">
        <v>46</v>
      </c>
      <c r="C19" s="10" t="s">
        <v>8</v>
      </c>
      <c r="D19" s="10">
        <v>3100031517</v>
      </c>
      <c r="E19" s="11" t="s">
        <v>730</v>
      </c>
      <c r="F19" s="10">
        <v>28</v>
      </c>
      <c r="G19" s="10" t="s">
        <v>84</v>
      </c>
      <c r="H19" s="210" t="s">
        <v>693</v>
      </c>
      <c r="I19" s="10"/>
    </row>
    <row r="20" spans="1:9" x14ac:dyDescent="0.25">
      <c r="B20" s="142" t="s">
        <v>49</v>
      </c>
      <c r="C20" s="10" t="s">
        <v>8</v>
      </c>
      <c r="D20" s="10">
        <v>3100031571</v>
      </c>
      <c r="E20" s="11" t="s">
        <v>438</v>
      </c>
      <c r="F20" s="10">
        <v>0</v>
      </c>
      <c r="G20" s="10" t="s">
        <v>84</v>
      </c>
      <c r="H20" s="210" t="s">
        <v>679</v>
      </c>
      <c r="I20" s="10"/>
    </row>
    <row r="21" spans="1:9" x14ac:dyDescent="0.25">
      <c r="B21" s="142" t="s">
        <v>4</v>
      </c>
      <c r="C21" s="10" t="s">
        <v>540</v>
      </c>
      <c r="D21" s="10">
        <v>3600036070</v>
      </c>
      <c r="E21" s="11" t="s">
        <v>587</v>
      </c>
      <c r="F21" s="10">
        <v>3.44</v>
      </c>
      <c r="G21" s="10" t="s">
        <v>13</v>
      </c>
      <c r="H21" s="10"/>
      <c r="I21" s="10"/>
    </row>
    <row r="22" spans="1:9" x14ac:dyDescent="0.25">
      <c r="B22" s="142" t="s">
        <v>42</v>
      </c>
      <c r="C22" s="10" t="s">
        <v>6</v>
      </c>
      <c r="D22" s="10">
        <v>3900042837</v>
      </c>
      <c r="E22" s="11" t="s">
        <v>439</v>
      </c>
      <c r="F22" s="10">
        <v>0.48</v>
      </c>
      <c r="G22" s="10" t="s">
        <v>13</v>
      </c>
      <c r="H22" s="196"/>
      <c r="I22" s="10"/>
    </row>
    <row r="23" spans="1:9" x14ac:dyDescent="0.25">
      <c r="B23" s="142" t="s">
        <v>544</v>
      </c>
      <c r="C23" s="10" t="s">
        <v>52</v>
      </c>
      <c r="D23" s="10">
        <v>3700037929</v>
      </c>
      <c r="E23" s="11" t="s">
        <v>437</v>
      </c>
      <c r="F23" s="10">
        <f>0.01+0.065+0.07</f>
        <v>0.14500000000000002</v>
      </c>
      <c r="G23" s="10" t="s">
        <v>13</v>
      </c>
      <c r="H23" s="196"/>
      <c r="I23" s="10"/>
    </row>
    <row r="24" spans="1:9" x14ac:dyDescent="0.25">
      <c r="B24" s="142" t="s">
        <v>319</v>
      </c>
      <c r="C24" s="10" t="s">
        <v>6</v>
      </c>
      <c r="D24" s="26">
        <v>3900042558</v>
      </c>
      <c r="E24" s="11" t="s">
        <v>734</v>
      </c>
      <c r="F24" s="10">
        <v>0.03</v>
      </c>
      <c r="G24" s="10" t="s">
        <v>13</v>
      </c>
      <c r="H24" s="10"/>
      <c r="I24" s="10"/>
    </row>
    <row r="25" spans="1:9" x14ac:dyDescent="0.25">
      <c r="A25" s="29">
        <v>1</v>
      </c>
      <c r="B25" s="142" t="s">
        <v>41</v>
      </c>
      <c r="C25" s="10" t="s">
        <v>8</v>
      </c>
      <c r="D25" s="10" t="s">
        <v>223</v>
      </c>
      <c r="E25" s="11" t="s">
        <v>442</v>
      </c>
      <c r="F25" s="10">
        <v>6.78</v>
      </c>
      <c r="G25" s="10" t="s">
        <v>13</v>
      </c>
      <c r="H25" s="10"/>
      <c r="I25" s="10"/>
    </row>
    <row r="26" spans="1:9" x14ac:dyDescent="0.25">
      <c r="B26" s="142" t="s">
        <v>45</v>
      </c>
      <c r="C26" s="10" t="s">
        <v>8</v>
      </c>
      <c r="D26" s="10">
        <v>3000133728</v>
      </c>
      <c r="E26" s="11" t="s">
        <v>727</v>
      </c>
      <c r="F26" s="10">
        <v>9.6000000000000002E-2</v>
      </c>
      <c r="G26" s="10" t="s">
        <v>13</v>
      </c>
      <c r="H26" s="10"/>
      <c r="I26" s="10"/>
    </row>
    <row r="27" spans="1:9" x14ac:dyDescent="0.25">
      <c r="A27" s="29">
        <v>4</v>
      </c>
      <c r="B27" s="142" t="s">
        <v>715</v>
      </c>
      <c r="C27" s="10" t="s">
        <v>7</v>
      </c>
      <c r="D27" s="10">
        <v>3200032054</v>
      </c>
      <c r="E27" s="11" t="s">
        <v>585</v>
      </c>
      <c r="F27" s="10">
        <f>0.18+0.12</f>
        <v>0.3</v>
      </c>
      <c r="G27" s="10" t="s">
        <v>13</v>
      </c>
      <c r="H27" s="201"/>
      <c r="I27" s="10"/>
    </row>
    <row r="28" spans="1:9" x14ac:dyDescent="0.25">
      <c r="B28" s="142" t="s">
        <v>37</v>
      </c>
      <c r="C28" s="10" t="s">
        <v>6</v>
      </c>
      <c r="D28" s="10">
        <v>3000133202</v>
      </c>
      <c r="E28" s="11" t="s">
        <v>726</v>
      </c>
      <c r="F28" s="10">
        <v>0.02</v>
      </c>
      <c r="G28" s="10" t="s">
        <v>13</v>
      </c>
      <c r="H28" s="209"/>
      <c r="I28" s="10"/>
    </row>
    <row r="29" spans="1:9" x14ac:dyDescent="0.25">
      <c r="B29" s="142" t="s">
        <v>41</v>
      </c>
      <c r="C29" s="10" t="s">
        <v>7</v>
      </c>
      <c r="D29" s="10">
        <v>3200032060</v>
      </c>
      <c r="E29" s="11" t="s">
        <v>586</v>
      </c>
      <c r="F29" s="10">
        <v>0.15</v>
      </c>
      <c r="G29" s="10" t="s">
        <v>13</v>
      </c>
      <c r="H29" s="201"/>
      <c r="I29" s="10"/>
    </row>
    <row r="30" spans="1:9" x14ac:dyDescent="0.25">
      <c r="B30" s="142" t="s">
        <v>36</v>
      </c>
      <c r="C30" s="10" t="s">
        <v>8</v>
      </c>
      <c r="D30" s="10" t="s">
        <v>707</v>
      </c>
      <c r="E30" s="11" t="s">
        <v>736</v>
      </c>
      <c r="F30" s="10">
        <v>0.02</v>
      </c>
      <c r="G30" s="10" t="s">
        <v>13</v>
      </c>
      <c r="H30" s="209"/>
      <c r="I30" s="10"/>
    </row>
    <row r="31" spans="1:9" x14ac:dyDescent="0.25">
      <c r="B31" s="142" t="s">
        <v>37</v>
      </c>
      <c r="C31" s="10" t="s">
        <v>6</v>
      </c>
      <c r="D31" s="10">
        <v>3900042418</v>
      </c>
      <c r="E31" s="11" t="s">
        <v>588</v>
      </c>
      <c r="F31" s="10">
        <v>1</v>
      </c>
      <c r="G31" s="10" t="s">
        <v>84</v>
      </c>
      <c r="H31" s="209"/>
      <c r="I31" s="10"/>
    </row>
    <row r="32" spans="1:9" x14ac:dyDescent="0.25">
      <c r="B32" s="142" t="s">
        <v>50</v>
      </c>
      <c r="C32" s="10" t="s">
        <v>11</v>
      </c>
      <c r="D32" s="10">
        <v>3200032412</v>
      </c>
      <c r="E32" s="11" t="s">
        <v>431</v>
      </c>
      <c r="F32" s="10">
        <v>0</v>
      </c>
      <c r="G32" s="10" t="s">
        <v>13</v>
      </c>
      <c r="H32" s="201"/>
      <c r="I32" s="10"/>
    </row>
    <row r="33" spans="1:9" x14ac:dyDescent="0.25">
      <c r="B33" s="142" t="s">
        <v>49</v>
      </c>
      <c r="C33" s="10" t="s">
        <v>6</v>
      </c>
      <c r="D33" s="10">
        <v>3100031700</v>
      </c>
      <c r="E33" s="11" t="s">
        <v>731</v>
      </c>
      <c r="F33" s="10">
        <v>0</v>
      </c>
      <c r="G33" s="10" t="s">
        <v>84</v>
      </c>
      <c r="H33" s="141" t="s">
        <v>682</v>
      </c>
      <c r="I33" s="10"/>
    </row>
    <row r="34" spans="1:9" x14ac:dyDescent="0.25">
      <c r="B34" s="142" t="s">
        <v>719</v>
      </c>
      <c r="C34" s="10" t="s">
        <v>52</v>
      </c>
      <c r="D34" s="10">
        <v>3100031004</v>
      </c>
      <c r="E34" s="11" t="s">
        <v>428</v>
      </c>
      <c r="F34" s="10">
        <f>0.006+0.02+0.06+0.012+0.765</f>
        <v>0.86299999999999999</v>
      </c>
      <c r="G34" s="10" t="s">
        <v>13</v>
      </c>
      <c r="H34" s="201"/>
      <c r="I34" s="10"/>
    </row>
    <row r="35" spans="1:9" x14ac:dyDescent="0.25">
      <c r="B35" s="142" t="s">
        <v>141</v>
      </c>
      <c r="C35" s="10" t="s">
        <v>52</v>
      </c>
      <c r="D35" s="10">
        <v>3000030197</v>
      </c>
      <c r="E35" s="11" t="s">
        <v>427</v>
      </c>
      <c r="F35" s="10">
        <v>0.126</v>
      </c>
      <c r="G35" s="10" t="s">
        <v>13</v>
      </c>
      <c r="H35" s="209"/>
      <c r="I35" s="10"/>
    </row>
    <row r="36" spans="1:9" x14ac:dyDescent="0.25">
      <c r="B36" s="142" t="s">
        <v>42</v>
      </c>
      <c r="C36" s="10" t="s">
        <v>6</v>
      </c>
      <c r="D36" s="10">
        <v>3900042834</v>
      </c>
      <c r="E36" s="11" t="s">
        <v>429</v>
      </c>
      <c r="F36" s="10">
        <f>0.18+0.02</f>
        <v>0.19999999999999998</v>
      </c>
      <c r="G36" s="10" t="s">
        <v>13</v>
      </c>
      <c r="H36" s="201"/>
      <c r="I36" s="10"/>
    </row>
    <row r="37" spans="1:9" x14ac:dyDescent="0.25">
      <c r="B37" s="142" t="s">
        <v>36</v>
      </c>
      <c r="C37" s="10" t="s">
        <v>8</v>
      </c>
      <c r="D37" s="10">
        <v>3600036824</v>
      </c>
      <c r="E37" s="11" t="s">
        <v>436</v>
      </c>
      <c r="F37" s="10">
        <f>0.32+0.06</f>
        <v>0.38</v>
      </c>
      <c r="G37" s="10" t="s">
        <v>13</v>
      </c>
      <c r="H37" s="209"/>
      <c r="I37" s="10"/>
    </row>
    <row r="38" spans="1:9" x14ac:dyDescent="0.25">
      <c r="A38" s="29">
        <v>1</v>
      </c>
      <c r="B38" s="142" t="s">
        <v>4</v>
      </c>
      <c r="C38" s="10" t="s">
        <v>6</v>
      </c>
      <c r="D38" s="10" t="s">
        <v>542</v>
      </c>
      <c r="E38" s="11" t="s">
        <v>589</v>
      </c>
      <c r="F38" s="10">
        <v>0.84</v>
      </c>
      <c r="G38" s="10" t="s">
        <v>13</v>
      </c>
      <c r="H38" s="209"/>
      <c r="I38" s="10"/>
    </row>
    <row r="39" spans="1:9" x14ac:dyDescent="0.25">
      <c r="A39" s="29">
        <v>1</v>
      </c>
      <c r="B39" s="142" t="s">
        <v>4</v>
      </c>
      <c r="C39" s="10" t="s">
        <v>6</v>
      </c>
      <c r="D39" s="10" t="s">
        <v>541</v>
      </c>
      <c r="E39" s="11" t="s">
        <v>590</v>
      </c>
      <c r="F39" s="10">
        <v>1.1200000000000001</v>
      </c>
      <c r="G39" s="10" t="s">
        <v>13</v>
      </c>
      <c r="H39" s="209"/>
      <c r="I39" s="10"/>
    </row>
    <row r="40" spans="1:9" x14ac:dyDescent="0.25">
      <c r="B40" s="142" t="s">
        <v>50</v>
      </c>
      <c r="C40" s="10" t="s">
        <v>6</v>
      </c>
      <c r="D40" s="10">
        <v>3000133080</v>
      </c>
      <c r="E40" s="11" t="s">
        <v>435</v>
      </c>
      <c r="F40" s="10">
        <v>0</v>
      </c>
      <c r="G40" s="10" t="s">
        <v>13</v>
      </c>
      <c r="H40" s="10"/>
      <c r="I40" s="10"/>
    </row>
    <row r="41" spans="1:9" x14ac:dyDescent="0.25">
      <c r="B41" s="142" t="s">
        <v>45</v>
      </c>
      <c r="C41" s="10"/>
      <c r="D41" s="10">
        <v>2100021270</v>
      </c>
      <c r="E41" s="11" t="s">
        <v>737</v>
      </c>
      <c r="F41" s="10">
        <v>4.4550000000000001</v>
      </c>
      <c r="G41" s="10" t="s">
        <v>13</v>
      </c>
      <c r="H41" s="10"/>
      <c r="I41" s="10"/>
    </row>
    <row r="42" spans="1:9" x14ac:dyDescent="0.25">
      <c r="A42" s="29">
        <v>1</v>
      </c>
      <c r="B42" s="142" t="s">
        <v>708</v>
      </c>
      <c r="C42" s="10" t="s">
        <v>6</v>
      </c>
      <c r="D42" s="10">
        <v>3300033273</v>
      </c>
      <c r="E42" s="11" t="s">
        <v>321</v>
      </c>
      <c r="F42" s="10">
        <f>1.661+5.65</f>
        <v>7.3109999999999999</v>
      </c>
      <c r="G42" s="10" t="s">
        <v>13</v>
      </c>
      <c r="H42" s="196"/>
      <c r="I42" s="10"/>
    </row>
    <row r="43" spans="1:9" x14ac:dyDescent="0.25">
      <c r="A43" s="29">
        <v>1</v>
      </c>
      <c r="B43" s="142" t="s">
        <v>3</v>
      </c>
      <c r="C43" s="10" t="s">
        <v>8</v>
      </c>
      <c r="D43" s="10">
        <v>3000030945</v>
      </c>
      <c r="E43" s="11" t="s">
        <v>433</v>
      </c>
      <c r="F43" s="10">
        <v>0.42</v>
      </c>
      <c r="G43" s="10" t="s">
        <v>13</v>
      </c>
      <c r="H43" s="10"/>
      <c r="I43" s="10"/>
    </row>
    <row r="44" spans="1:9" x14ac:dyDescent="0.25">
      <c r="B44" s="142" t="s">
        <v>45</v>
      </c>
      <c r="C44" s="10" t="s">
        <v>9</v>
      </c>
      <c r="D44" s="10">
        <v>3000133924</v>
      </c>
      <c r="E44" s="11" t="s">
        <v>728</v>
      </c>
      <c r="F44" s="10">
        <v>32</v>
      </c>
      <c r="G44" s="10" t="s">
        <v>84</v>
      </c>
      <c r="H44" s="10"/>
      <c r="I44" s="10"/>
    </row>
    <row r="45" spans="1:9" x14ac:dyDescent="0.25">
      <c r="B45" s="142" t="s">
        <v>46</v>
      </c>
      <c r="C45" s="10" t="s">
        <v>135</v>
      </c>
      <c r="D45" s="10">
        <v>2100021309</v>
      </c>
      <c r="E45" s="11" t="s">
        <v>725</v>
      </c>
      <c r="F45" s="10">
        <v>1.23</v>
      </c>
      <c r="G45" s="10" t="s">
        <v>13</v>
      </c>
      <c r="H45" s="211" t="s">
        <v>693</v>
      </c>
      <c r="I45" s="10"/>
    </row>
    <row r="46" spans="1:9" x14ac:dyDescent="0.25">
      <c r="A46" s="29">
        <v>3</v>
      </c>
      <c r="B46" s="142" t="s">
        <v>48</v>
      </c>
      <c r="C46" s="10" t="s">
        <v>135</v>
      </c>
      <c r="D46" s="10">
        <v>2100021309</v>
      </c>
      <c r="E46" s="11" t="s">
        <v>725</v>
      </c>
      <c r="F46" s="10">
        <v>6.8639999999999999</v>
      </c>
      <c r="G46" s="10" t="s">
        <v>13</v>
      </c>
      <c r="H46" s="212"/>
      <c r="I46" s="10"/>
    </row>
    <row r="47" spans="1:9" x14ac:dyDescent="0.25">
      <c r="B47" s="142" t="s">
        <v>46</v>
      </c>
      <c r="C47" s="10" t="s">
        <v>9</v>
      </c>
      <c r="D47" s="10">
        <v>3300033512</v>
      </c>
      <c r="E47" s="11" t="s">
        <v>732</v>
      </c>
      <c r="F47" s="10">
        <v>0.49</v>
      </c>
      <c r="G47" s="10" t="s">
        <v>13</v>
      </c>
      <c r="H47" s="210" t="s">
        <v>693</v>
      </c>
      <c r="I47" s="10"/>
    </row>
    <row r="48" spans="1:9" x14ac:dyDescent="0.25">
      <c r="B48" s="142" t="s">
        <v>36</v>
      </c>
      <c r="C48" s="10" t="s">
        <v>9</v>
      </c>
      <c r="D48" s="10">
        <v>3900042540</v>
      </c>
      <c r="E48" s="11" t="s">
        <v>724</v>
      </c>
      <c r="F48" s="10">
        <v>1.6</v>
      </c>
      <c r="G48" s="10" t="s">
        <v>13</v>
      </c>
      <c r="H48" s="10"/>
      <c r="I48" s="10"/>
    </row>
    <row r="49" spans="1:9" x14ac:dyDescent="0.25">
      <c r="B49" s="142" t="s">
        <v>720</v>
      </c>
      <c r="C49" s="10" t="s">
        <v>8</v>
      </c>
      <c r="D49" s="10">
        <v>3300033541</v>
      </c>
      <c r="E49" s="11" t="s">
        <v>722</v>
      </c>
      <c r="F49" s="10">
        <f>0.02+0.06</f>
        <v>0.08</v>
      </c>
      <c r="G49" s="10" t="s">
        <v>13</v>
      </c>
      <c r="H49" s="10"/>
      <c r="I49" s="10"/>
    </row>
    <row r="50" spans="1:9" x14ac:dyDescent="0.25">
      <c r="B50" s="142" t="s">
        <v>36</v>
      </c>
      <c r="C50" s="10" t="s">
        <v>8</v>
      </c>
      <c r="D50" s="10">
        <v>3300033540</v>
      </c>
      <c r="E50" s="11" t="s">
        <v>721</v>
      </c>
      <c r="F50" s="10">
        <f>0.64+0.12</f>
        <v>0.76</v>
      </c>
      <c r="G50" s="10" t="s">
        <v>13</v>
      </c>
      <c r="H50" s="10"/>
      <c r="I50" s="10"/>
    </row>
    <row r="51" spans="1:9" x14ac:dyDescent="0.25">
      <c r="B51" s="142" t="s">
        <v>46</v>
      </c>
      <c r="C51" s="10" t="s">
        <v>8</v>
      </c>
      <c r="D51" s="10">
        <v>3100031057</v>
      </c>
      <c r="E51" s="11" t="s">
        <v>711</v>
      </c>
      <c r="F51" s="10">
        <v>7.0000000000000007E-2</v>
      </c>
      <c r="G51" s="10" t="s">
        <v>13</v>
      </c>
      <c r="H51" s="210" t="s">
        <v>693</v>
      </c>
      <c r="I51" s="10"/>
    </row>
    <row r="52" spans="1:9" x14ac:dyDescent="0.25">
      <c r="B52" s="142" t="s">
        <v>49</v>
      </c>
      <c r="C52" s="10" t="s">
        <v>6</v>
      </c>
      <c r="D52" s="10">
        <v>3000134041</v>
      </c>
      <c r="E52" s="11" t="s">
        <v>706</v>
      </c>
      <c r="F52" s="10">
        <v>0</v>
      </c>
      <c r="G52" s="10" t="s">
        <v>13</v>
      </c>
      <c r="H52" s="210" t="s">
        <v>682</v>
      </c>
      <c r="I52" s="10"/>
    </row>
    <row r="53" spans="1:9" x14ac:dyDescent="0.25">
      <c r="B53" s="142" t="s">
        <v>47</v>
      </c>
      <c r="C53" s="10" t="s">
        <v>471</v>
      </c>
      <c r="D53" s="10">
        <v>3000030484</v>
      </c>
      <c r="E53" s="11" t="s">
        <v>712</v>
      </c>
      <c r="F53" s="10">
        <f>0.114+0.018+0.003</f>
        <v>0.13500000000000001</v>
      </c>
      <c r="G53" s="10" t="s">
        <v>13</v>
      </c>
      <c r="H53" s="10"/>
      <c r="I53" s="10"/>
    </row>
    <row r="54" spans="1:9" x14ac:dyDescent="0.25">
      <c r="B54" s="142" t="s">
        <v>27</v>
      </c>
      <c r="C54" s="10" t="s">
        <v>8</v>
      </c>
      <c r="D54" s="10">
        <v>3100031033</v>
      </c>
      <c r="E54" s="11" t="s">
        <v>709</v>
      </c>
      <c r="F54" s="10">
        <v>0</v>
      </c>
      <c r="G54" s="10" t="s">
        <v>13</v>
      </c>
      <c r="H54" s="196"/>
      <c r="I54" s="10"/>
    </row>
    <row r="55" spans="1:9" x14ac:dyDescent="0.25">
      <c r="B55" s="142" t="s">
        <v>37</v>
      </c>
      <c r="C55" s="10" t="s">
        <v>6</v>
      </c>
      <c r="D55" s="10">
        <v>3900042974</v>
      </c>
      <c r="E55" s="11" t="s">
        <v>441</v>
      </c>
      <c r="F55" s="10">
        <v>26.88</v>
      </c>
      <c r="G55" s="10" t="s">
        <v>13</v>
      </c>
      <c r="H55" s="10"/>
      <c r="I55" s="10"/>
    </row>
    <row r="56" spans="1:9" x14ac:dyDescent="0.25">
      <c r="B56" s="142" t="s">
        <v>130</v>
      </c>
      <c r="C56" s="10" t="s">
        <v>9</v>
      </c>
      <c r="D56" s="10">
        <v>3000132561</v>
      </c>
      <c r="E56" s="11" t="s">
        <v>351</v>
      </c>
      <c r="F56" s="10">
        <v>2.5000000000000001E-2</v>
      </c>
      <c r="G56" s="10" t="s">
        <v>13</v>
      </c>
      <c r="H56" s="10"/>
      <c r="I56" s="10"/>
    </row>
    <row r="57" spans="1:9" x14ac:dyDescent="0.25">
      <c r="B57" s="142" t="s">
        <v>36</v>
      </c>
      <c r="C57" s="10" t="s">
        <v>8</v>
      </c>
      <c r="D57" s="10">
        <v>3000131404</v>
      </c>
      <c r="E57" s="11" t="s">
        <v>434</v>
      </c>
      <c r="F57" s="10">
        <v>2E-3</v>
      </c>
      <c r="G57" s="10" t="s">
        <v>13</v>
      </c>
      <c r="H57" s="10"/>
      <c r="I57" s="10"/>
    </row>
    <row r="58" spans="1:9" x14ac:dyDescent="0.25">
      <c r="B58" s="142" t="s">
        <v>47</v>
      </c>
      <c r="C58" s="10" t="s">
        <v>51</v>
      </c>
      <c r="D58" s="10">
        <v>3900042764</v>
      </c>
      <c r="E58" s="11" t="s">
        <v>735</v>
      </c>
      <c r="F58" s="10">
        <f>8+116+40</f>
        <v>164</v>
      </c>
      <c r="G58" s="10" t="s">
        <v>84</v>
      </c>
      <c r="H58" s="10"/>
      <c r="I58" s="10"/>
    </row>
    <row r="59" spans="1:9" x14ac:dyDescent="0.25">
      <c r="A59" s="29">
        <v>2</v>
      </c>
      <c r="B59" s="142" t="s">
        <v>717</v>
      </c>
      <c r="C59" s="10" t="s">
        <v>31</v>
      </c>
      <c r="D59" s="10" t="s">
        <v>543</v>
      </c>
      <c r="E59" s="11" t="s">
        <v>584</v>
      </c>
      <c r="F59" s="10">
        <f>66+84</f>
        <v>150</v>
      </c>
      <c r="G59" s="10" t="s">
        <v>84</v>
      </c>
      <c r="H59" s="10"/>
      <c r="I59" s="10"/>
    </row>
    <row r="60" spans="1:9" x14ac:dyDescent="0.25">
      <c r="B60" s="142" t="s">
        <v>27</v>
      </c>
      <c r="C60" s="10" t="s">
        <v>6</v>
      </c>
      <c r="D60" s="10">
        <v>3700037592</v>
      </c>
      <c r="E60" s="11" t="s">
        <v>733</v>
      </c>
      <c r="F60" s="10">
        <v>0</v>
      </c>
      <c r="G60" s="10" t="s">
        <v>84</v>
      </c>
      <c r="H60" s="10"/>
      <c r="I60" s="10"/>
    </row>
    <row r="61" spans="1:9" x14ac:dyDescent="0.25">
      <c r="B61" s="142" t="s">
        <v>37</v>
      </c>
      <c r="C61" s="10" t="s">
        <v>8</v>
      </c>
      <c r="D61" s="10">
        <v>3500035300</v>
      </c>
      <c r="E61" s="11" t="s">
        <v>591</v>
      </c>
      <c r="F61" s="10">
        <v>5.6000000000000001E-2</v>
      </c>
      <c r="G61" s="10" t="s">
        <v>13</v>
      </c>
      <c r="H61" s="10"/>
      <c r="I61" s="10"/>
    </row>
  </sheetData>
  <autoFilter ref="A3:I61" xr:uid="{B633EE59-63E2-4709-92DF-83D85A42DC46}">
    <sortState xmlns:xlrd2="http://schemas.microsoft.com/office/spreadsheetml/2017/richdata2" ref="A4:I61">
      <sortCondition ref="E7:E61"/>
    </sortState>
  </autoFilter>
  <sortState xmlns:xlrd2="http://schemas.microsoft.com/office/spreadsheetml/2017/richdata2" ref="A9:I61">
    <sortCondition ref="D9:D61"/>
  </sortState>
  <mergeCells count="3">
    <mergeCell ref="F1:G2"/>
    <mergeCell ref="E1:E2"/>
    <mergeCell ref="B1:D2"/>
  </mergeCells>
  <phoneticPr fontId="48" type="noConversion"/>
  <conditionalFormatting sqref="D1:D3">
    <cfRule type="duplicateValues" dxfId="11" priority="1922"/>
  </conditionalFormatting>
  <conditionalFormatting sqref="D1:D1048576">
    <cfRule type="duplicateValues" dxfId="10" priority="3"/>
  </conditionalFormatting>
  <conditionalFormatting sqref="E59">
    <cfRule type="duplicateValues" dxfId="9" priority="1"/>
  </conditionalFormatting>
  <pageMargins left="0.23622047244094491" right="0.23622047244094491" top="0.74803149606299213" bottom="0.74803149606299213" header="0.31496062992125984" footer="0.31496062992125984"/>
  <pageSetup paperSize="8" scale="36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13DC-DC2B-4D51-9233-57B26C04490D}">
  <sheetPr codeName="Sheet6">
    <pageSetUpPr fitToPage="1"/>
  </sheetPr>
  <dimension ref="A1:Q229"/>
  <sheetViews>
    <sheetView view="pageBreakPreview" topLeftCell="A182" zoomScale="29" zoomScaleNormal="70" zoomScaleSheetLayoutView="70" workbookViewId="0">
      <selection activeCell="F6" sqref="F6"/>
    </sheetView>
  </sheetViews>
  <sheetFormatPr defaultColWidth="9.109375" defaultRowHeight="37.799999999999997" x14ac:dyDescent="0.25"/>
  <cols>
    <col min="1" max="1" width="22.6640625" style="41" bestFit="1" customWidth="1"/>
    <col min="2" max="2" width="18" style="28" bestFit="1" customWidth="1"/>
    <col min="3" max="3" width="41.109375" style="29" bestFit="1" customWidth="1"/>
    <col min="4" max="4" width="165.109375" style="42" customWidth="1"/>
    <col min="5" max="5" width="32.33203125" style="29" hidden="1" customWidth="1"/>
    <col min="6" max="6" width="25" style="29" bestFit="1" customWidth="1"/>
    <col min="7" max="7" width="14.88671875" style="29" bestFit="1" customWidth="1"/>
    <col min="8" max="8" width="42" style="29" bestFit="1" customWidth="1"/>
    <col min="9" max="9" width="43.6640625" style="29" bestFit="1" customWidth="1"/>
    <col min="10" max="18" width="9.109375" style="29"/>
    <col min="19" max="19" width="10.88671875" style="29" bestFit="1" customWidth="1"/>
    <col min="20" max="16384" width="9.109375" style="29"/>
  </cols>
  <sheetData>
    <row r="1" spans="1:9" s="19" customFormat="1" x14ac:dyDescent="0.25">
      <c r="A1" s="240" t="s">
        <v>752</v>
      </c>
      <c r="B1" s="240"/>
      <c r="C1" s="240"/>
      <c r="D1" s="18" t="s">
        <v>20</v>
      </c>
      <c r="E1" s="241">
        <f ca="1">TODAY()+1</f>
        <v>46175</v>
      </c>
      <c r="F1" s="242"/>
      <c r="G1" s="242"/>
      <c r="H1" s="243"/>
      <c r="I1" s="48"/>
    </row>
    <row r="2" spans="1:9" s="25" customFormat="1" ht="28.5" customHeight="1" x14ac:dyDescent="0.25">
      <c r="A2" s="85" t="s">
        <v>0</v>
      </c>
      <c r="B2" s="85" t="s">
        <v>28</v>
      </c>
      <c r="C2" s="85" t="s">
        <v>1</v>
      </c>
      <c r="D2" s="85" t="s">
        <v>2</v>
      </c>
      <c r="E2" s="85" t="s">
        <v>86</v>
      </c>
      <c r="F2" s="85" t="s">
        <v>24</v>
      </c>
      <c r="G2" s="85"/>
      <c r="H2" s="85" t="s">
        <v>226</v>
      </c>
      <c r="I2" s="85" t="s">
        <v>15</v>
      </c>
    </row>
    <row r="3" spans="1:9" s="28" customFormat="1" ht="36" customHeight="1" x14ac:dyDescent="0.25">
      <c r="A3" s="90" t="s">
        <v>49</v>
      </c>
      <c r="B3" s="92" t="s">
        <v>10</v>
      </c>
      <c r="C3" s="92">
        <v>4000048145</v>
      </c>
      <c r="D3" s="93" t="s">
        <v>254</v>
      </c>
      <c r="E3" s="92"/>
      <c r="F3" s="92">
        <v>0</v>
      </c>
      <c r="G3" s="92" t="s">
        <v>225</v>
      </c>
      <c r="H3" s="247" t="s">
        <v>679</v>
      </c>
      <c r="I3" s="117"/>
    </row>
    <row r="4" spans="1:9" s="28" customFormat="1" ht="36" customHeight="1" x14ac:dyDescent="0.25">
      <c r="A4" s="90" t="s">
        <v>49</v>
      </c>
      <c r="B4" s="92" t="s">
        <v>10</v>
      </c>
      <c r="C4" s="92">
        <v>5900059466</v>
      </c>
      <c r="D4" s="93" t="s">
        <v>255</v>
      </c>
      <c r="E4" s="92"/>
      <c r="F4" s="92">
        <v>0</v>
      </c>
      <c r="G4" s="92" t="s">
        <v>225</v>
      </c>
      <c r="H4" s="248"/>
      <c r="I4" s="117"/>
    </row>
    <row r="5" spans="1:9" s="28" customFormat="1" ht="36" customHeight="1" x14ac:dyDescent="0.25">
      <c r="A5" s="90" t="s">
        <v>49</v>
      </c>
      <c r="B5" s="92" t="s">
        <v>33</v>
      </c>
      <c r="C5" s="92">
        <v>6700067673</v>
      </c>
      <c r="D5" s="93" t="s">
        <v>256</v>
      </c>
      <c r="E5" s="92"/>
      <c r="F5" s="92">
        <v>0</v>
      </c>
      <c r="G5" s="92" t="s">
        <v>225</v>
      </c>
      <c r="H5" s="248"/>
      <c r="I5" s="117"/>
    </row>
    <row r="6" spans="1:9" s="28" customFormat="1" ht="36" customHeight="1" x14ac:dyDescent="0.25">
      <c r="A6" s="90" t="s">
        <v>49</v>
      </c>
      <c r="B6" s="92" t="s">
        <v>33</v>
      </c>
      <c r="C6" s="92">
        <v>6100061160</v>
      </c>
      <c r="D6" s="93" t="s">
        <v>357</v>
      </c>
      <c r="E6" s="92"/>
      <c r="F6" s="92">
        <v>0</v>
      </c>
      <c r="G6" s="92" t="s">
        <v>225</v>
      </c>
      <c r="H6" s="248"/>
      <c r="I6" s="117"/>
    </row>
    <row r="7" spans="1:9" ht="36" customHeight="1" x14ac:dyDescent="0.25">
      <c r="A7" s="90" t="s">
        <v>49</v>
      </c>
      <c r="B7" s="26"/>
      <c r="C7" s="10">
        <v>2100021888</v>
      </c>
      <c r="D7" s="11" t="s">
        <v>161</v>
      </c>
      <c r="E7" s="10">
        <v>1</v>
      </c>
      <c r="F7" s="10">
        <f>SUM($F$3+$F$4+$F$5+$F$6)*E7</f>
        <v>0</v>
      </c>
      <c r="G7" s="10" t="s">
        <v>14</v>
      </c>
      <c r="H7" s="248"/>
      <c r="I7" s="196"/>
    </row>
    <row r="8" spans="1:9" s="28" customFormat="1" ht="36" customHeight="1" x14ac:dyDescent="0.25">
      <c r="A8" s="90" t="s">
        <v>49</v>
      </c>
      <c r="B8" s="26"/>
      <c r="C8" s="10">
        <v>2100021773</v>
      </c>
      <c r="D8" s="11" t="s">
        <v>352</v>
      </c>
      <c r="E8" s="10">
        <v>1</v>
      </c>
      <c r="F8" s="10">
        <f t="shared" ref="F8:F11" si="0">SUM($F$3+$F$4+$F$5+$F$6)*E8</f>
        <v>0</v>
      </c>
      <c r="G8" s="10" t="s">
        <v>14</v>
      </c>
      <c r="H8" s="248"/>
      <c r="I8" s="196"/>
    </row>
    <row r="9" spans="1:9" ht="36" customHeight="1" x14ac:dyDescent="0.25">
      <c r="A9" s="90" t="s">
        <v>49</v>
      </c>
      <c r="B9" s="26"/>
      <c r="C9" s="10">
        <v>2200022466</v>
      </c>
      <c r="D9" s="11" t="s">
        <v>163</v>
      </c>
      <c r="E9" s="10">
        <v>1</v>
      </c>
      <c r="F9" s="10">
        <f t="shared" si="0"/>
        <v>0</v>
      </c>
      <c r="G9" s="10" t="s">
        <v>14</v>
      </c>
      <c r="H9" s="248"/>
      <c r="I9" s="196"/>
    </row>
    <row r="10" spans="1:9" ht="36" customHeight="1" x14ac:dyDescent="0.25">
      <c r="A10" s="90" t="s">
        <v>49</v>
      </c>
      <c r="B10" s="26"/>
      <c r="C10" s="10">
        <v>2100021190</v>
      </c>
      <c r="D10" s="11" t="s">
        <v>353</v>
      </c>
      <c r="E10" s="10">
        <v>1</v>
      </c>
      <c r="F10" s="10">
        <f t="shared" si="0"/>
        <v>0</v>
      </c>
      <c r="G10" s="10" t="s">
        <v>14</v>
      </c>
      <c r="H10" s="248"/>
      <c r="I10" s="196"/>
    </row>
    <row r="11" spans="1:9" ht="36" customHeight="1" x14ac:dyDescent="0.25">
      <c r="A11" s="90" t="s">
        <v>49</v>
      </c>
      <c r="B11" s="26"/>
      <c r="C11" s="10">
        <v>2200022070</v>
      </c>
      <c r="D11" s="11" t="s">
        <v>218</v>
      </c>
      <c r="E11" s="10">
        <v>1</v>
      </c>
      <c r="F11" s="10">
        <f t="shared" si="0"/>
        <v>0</v>
      </c>
      <c r="G11" s="10" t="s">
        <v>14</v>
      </c>
      <c r="H11" s="248"/>
      <c r="I11" s="196"/>
    </row>
    <row r="12" spans="1:9" s="28" customFormat="1" ht="36" customHeight="1" x14ac:dyDescent="0.25">
      <c r="A12" s="90" t="s">
        <v>49</v>
      </c>
      <c r="B12" s="92" t="s">
        <v>10</v>
      </c>
      <c r="C12" s="92">
        <v>4000048146</v>
      </c>
      <c r="D12" s="93" t="s">
        <v>257</v>
      </c>
      <c r="E12" s="92"/>
      <c r="F12" s="92">
        <v>0</v>
      </c>
      <c r="G12" s="92" t="s">
        <v>225</v>
      </c>
      <c r="H12" s="248"/>
      <c r="I12" s="117"/>
    </row>
    <row r="13" spans="1:9" s="28" customFormat="1" ht="36" customHeight="1" x14ac:dyDescent="0.25">
      <c r="A13" s="90" t="s">
        <v>49</v>
      </c>
      <c r="B13" s="92" t="s">
        <v>10</v>
      </c>
      <c r="C13" s="92">
        <v>6200062379</v>
      </c>
      <c r="D13" s="93" t="s">
        <v>258</v>
      </c>
      <c r="E13" s="92"/>
      <c r="F13" s="92">
        <v>0</v>
      </c>
      <c r="G13" s="92" t="s">
        <v>225</v>
      </c>
      <c r="H13" s="248"/>
      <c r="I13" s="117"/>
    </row>
    <row r="14" spans="1:9" s="28" customFormat="1" ht="36" customHeight="1" x14ac:dyDescent="0.25">
      <c r="A14" s="90" t="s">
        <v>49</v>
      </c>
      <c r="B14" s="92" t="s">
        <v>10</v>
      </c>
      <c r="C14" s="92">
        <v>4900070029</v>
      </c>
      <c r="D14" s="93" t="s">
        <v>359</v>
      </c>
      <c r="E14" s="92"/>
      <c r="F14" s="92">
        <v>0</v>
      </c>
      <c r="G14" s="92" t="s">
        <v>225</v>
      </c>
      <c r="H14" s="248"/>
      <c r="I14" s="117"/>
    </row>
    <row r="15" spans="1:9" ht="36" customHeight="1" x14ac:dyDescent="0.25">
      <c r="A15" s="90" t="s">
        <v>49</v>
      </c>
      <c r="B15" s="26"/>
      <c r="C15" s="10">
        <v>2100021888</v>
      </c>
      <c r="D15" s="11" t="s">
        <v>161</v>
      </c>
      <c r="E15" s="10">
        <v>2</v>
      </c>
      <c r="F15" s="10">
        <f>E15*($F$12+$F$13+$F$14)</f>
        <v>0</v>
      </c>
      <c r="G15" s="10" t="s">
        <v>14</v>
      </c>
      <c r="H15" s="248"/>
      <c r="I15" s="117"/>
    </row>
    <row r="16" spans="1:9" ht="36" customHeight="1" x14ac:dyDescent="0.25">
      <c r="A16" s="90" t="s">
        <v>49</v>
      </c>
      <c r="B16" s="26"/>
      <c r="C16" s="10">
        <v>2100021988</v>
      </c>
      <c r="D16" s="11" t="s">
        <v>162</v>
      </c>
      <c r="E16" s="10">
        <v>2</v>
      </c>
      <c r="F16" s="10">
        <f t="shared" ref="F16:F18" si="1">E16*($F$12+$F$13+$F$14)</f>
        <v>0</v>
      </c>
      <c r="G16" s="10" t="s">
        <v>14</v>
      </c>
      <c r="H16" s="248"/>
      <c r="I16" s="196"/>
    </row>
    <row r="17" spans="1:9" s="28" customFormat="1" ht="36" customHeight="1" x14ac:dyDescent="0.25">
      <c r="A17" s="90" t="s">
        <v>49</v>
      </c>
      <c r="B17" s="26"/>
      <c r="C17" s="10">
        <v>2200022466</v>
      </c>
      <c r="D17" s="11" t="s">
        <v>163</v>
      </c>
      <c r="E17" s="10">
        <v>2</v>
      </c>
      <c r="F17" s="10">
        <f t="shared" si="1"/>
        <v>0</v>
      </c>
      <c r="G17" s="10" t="s">
        <v>14</v>
      </c>
      <c r="H17" s="248"/>
      <c r="I17" s="196"/>
    </row>
    <row r="18" spans="1:9" ht="36" customHeight="1" x14ac:dyDescent="0.25">
      <c r="A18" s="90" t="s">
        <v>49</v>
      </c>
      <c r="B18" s="26"/>
      <c r="C18" s="10">
        <v>2000020531</v>
      </c>
      <c r="D18" s="11" t="s">
        <v>164</v>
      </c>
      <c r="E18" s="10">
        <v>1</v>
      </c>
      <c r="F18" s="10">
        <f t="shared" si="1"/>
        <v>0</v>
      </c>
      <c r="G18" s="10" t="s">
        <v>14</v>
      </c>
      <c r="H18" s="249"/>
      <c r="I18" s="196"/>
    </row>
    <row r="19" spans="1:9" s="28" customFormat="1" ht="36" customHeight="1" x14ac:dyDescent="0.25">
      <c r="A19" s="90" t="s">
        <v>49</v>
      </c>
      <c r="B19" s="92" t="s">
        <v>10</v>
      </c>
      <c r="C19" s="92">
        <v>4000048145</v>
      </c>
      <c r="D19" s="93" t="s">
        <v>254</v>
      </c>
      <c r="E19" s="92"/>
      <c r="F19" s="92">
        <v>0</v>
      </c>
      <c r="G19" s="92" t="s">
        <v>225</v>
      </c>
      <c r="H19" s="250" t="s">
        <v>682</v>
      </c>
      <c r="I19" s="117"/>
    </row>
    <row r="20" spans="1:9" s="28" customFormat="1" ht="36" customHeight="1" x14ac:dyDescent="0.25">
      <c r="A20" s="90" t="s">
        <v>49</v>
      </c>
      <c r="B20" s="92" t="s">
        <v>10</v>
      </c>
      <c r="C20" s="92">
        <v>5900059466</v>
      </c>
      <c r="D20" s="93" t="s">
        <v>255</v>
      </c>
      <c r="E20" s="92"/>
      <c r="F20" s="92">
        <v>0</v>
      </c>
      <c r="G20" s="92" t="s">
        <v>225</v>
      </c>
      <c r="H20" s="251"/>
      <c r="I20" s="117"/>
    </row>
    <row r="21" spans="1:9" s="28" customFormat="1" ht="36" customHeight="1" x14ac:dyDescent="0.25">
      <c r="A21" s="90" t="s">
        <v>49</v>
      </c>
      <c r="B21" s="92" t="s">
        <v>33</v>
      </c>
      <c r="C21" s="92">
        <v>6700067673</v>
      </c>
      <c r="D21" s="93" t="s">
        <v>256</v>
      </c>
      <c r="E21" s="92"/>
      <c r="F21" s="92">
        <v>0</v>
      </c>
      <c r="G21" s="92" t="s">
        <v>225</v>
      </c>
      <c r="H21" s="251"/>
      <c r="I21" s="117"/>
    </row>
    <row r="22" spans="1:9" s="28" customFormat="1" ht="36" customHeight="1" x14ac:dyDescent="0.25">
      <c r="A22" s="90" t="s">
        <v>49</v>
      </c>
      <c r="B22" s="92" t="s">
        <v>33</v>
      </c>
      <c r="C22" s="92">
        <v>6100061160</v>
      </c>
      <c r="D22" s="93" t="s">
        <v>357</v>
      </c>
      <c r="E22" s="92"/>
      <c r="F22" s="92">
        <v>0</v>
      </c>
      <c r="G22" s="92" t="s">
        <v>225</v>
      </c>
      <c r="H22" s="251"/>
      <c r="I22" s="117"/>
    </row>
    <row r="23" spans="1:9" s="28" customFormat="1" ht="36" customHeight="1" x14ac:dyDescent="0.25">
      <c r="A23" s="90" t="s">
        <v>49</v>
      </c>
      <c r="B23" s="92" t="s">
        <v>10</v>
      </c>
      <c r="C23" s="92">
        <v>5900059497</v>
      </c>
      <c r="D23" s="93" t="s">
        <v>740</v>
      </c>
      <c r="E23" s="92"/>
      <c r="F23" s="92">
        <v>0</v>
      </c>
      <c r="G23" s="92" t="s">
        <v>225</v>
      </c>
      <c r="H23" s="251"/>
      <c r="I23" s="117"/>
    </row>
    <row r="24" spans="1:9" s="28" customFormat="1" ht="36" customHeight="1" x14ac:dyDescent="0.25">
      <c r="A24" s="90" t="s">
        <v>49</v>
      </c>
      <c r="B24" s="92" t="s">
        <v>10</v>
      </c>
      <c r="C24" s="92">
        <v>7900081447</v>
      </c>
      <c r="D24" s="93" t="s">
        <v>741</v>
      </c>
      <c r="E24" s="92"/>
      <c r="F24" s="92">
        <v>0</v>
      </c>
      <c r="G24" s="92" t="s">
        <v>225</v>
      </c>
      <c r="H24" s="251"/>
      <c r="I24" s="117"/>
    </row>
    <row r="25" spans="1:9" s="28" customFormat="1" ht="36" customHeight="1" x14ac:dyDescent="0.25">
      <c r="A25" s="90" t="s">
        <v>49</v>
      </c>
      <c r="B25" s="92" t="s">
        <v>10</v>
      </c>
      <c r="C25" s="92">
        <v>6900070027</v>
      </c>
      <c r="D25" s="93" t="s">
        <v>742</v>
      </c>
      <c r="E25" s="92"/>
      <c r="F25" s="92">
        <v>0</v>
      </c>
      <c r="G25" s="92" t="s">
        <v>225</v>
      </c>
      <c r="H25" s="251"/>
      <c r="I25" s="117"/>
    </row>
    <row r="26" spans="1:9" ht="36" customHeight="1" x14ac:dyDescent="0.25">
      <c r="A26" s="90" t="s">
        <v>49</v>
      </c>
      <c r="B26" s="26"/>
      <c r="C26" s="10">
        <v>2100021888</v>
      </c>
      <c r="D26" s="11" t="s">
        <v>161</v>
      </c>
      <c r="E26" s="10">
        <v>1</v>
      </c>
      <c r="F26" s="10">
        <f>SUM(($F$19+$F$20+$F$21+$F$22)*E26)+(($F$23+$F$24+$F$25)*2)</f>
        <v>0</v>
      </c>
      <c r="G26" s="10" t="s">
        <v>14</v>
      </c>
      <c r="H26" s="251"/>
      <c r="I26" s="196"/>
    </row>
    <row r="27" spans="1:9" s="28" customFormat="1" ht="36" customHeight="1" x14ac:dyDescent="0.25">
      <c r="A27" s="90" t="s">
        <v>49</v>
      </c>
      <c r="B27" s="26"/>
      <c r="C27" s="10">
        <v>2100021773</v>
      </c>
      <c r="D27" s="11" t="s">
        <v>352</v>
      </c>
      <c r="E27" s="10">
        <v>1</v>
      </c>
      <c r="F27" s="10">
        <f>SUM(($F$19+$F$20+$F$21+$F$22)*E27)+($F$23+$F$24+$F$25)</f>
        <v>0</v>
      </c>
      <c r="G27" s="10" t="s">
        <v>14</v>
      </c>
      <c r="H27" s="251"/>
      <c r="I27" s="196"/>
    </row>
    <row r="28" spans="1:9" ht="36" customHeight="1" x14ac:dyDescent="0.25">
      <c r="A28" s="90" t="s">
        <v>49</v>
      </c>
      <c r="B28" s="26"/>
      <c r="C28" s="10">
        <v>2200022466</v>
      </c>
      <c r="D28" s="11" t="s">
        <v>163</v>
      </c>
      <c r="E28" s="10">
        <v>1</v>
      </c>
      <c r="F28" s="10">
        <f>SUM(($F$19+$F$20+$F$21+$F$22)*E28)+(($F$23+$F$24+$F$25)*2)</f>
        <v>0</v>
      </c>
      <c r="G28" s="10" t="s">
        <v>14</v>
      </c>
      <c r="H28" s="251"/>
      <c r="I28" s="196"/>
    </row>
    <row r="29" spans="1:9" ht="36" customHeight="1" x14ac:dyDescent="0.25">
      <c r="A29" s="90" t="s">
        <v>49</v>
      </c>
      <c r="B29" s="26"/>
      <c r="C29" s="10">
        <v>2100021190</v>
      </c>
      <c r="D29" s="11" t="s">
        <v>353</v>
      </c>
      <c r="E29" s="10">
        <v>1</v>
      </c>
      <c r="F29" s="10">
        <f>SUM(($F$19+$F$20+$F$21+$F$22)*E29)+(($F$23+$F$24+$F$25)*2)</f>
        <v>0</v>
      </c>
      <c r="G29" s="10" t="s">
        <v>14</v>
      </c>
      <c r="H29" s="251"/>
      <c r="I29" s="196"/>
    </row>
    <row r="30" spans="1:9" ht="36" customHeight="1" x14ac:dyDescent="0.25">
      <c r="A30" s="90" t="s">
        <v>49</v>
      </c>
      <c r="B30" s="26"/>
      <c r="C30" s="10">
        <v>2200022070</v>
      </c>
      <c r="D30" s="11" t="s">
        <v>218</v>
      </c>
      <c r="E30" s="10">
        <v>1</v>
      </c>
      <c r="F30" s="10">
        <f>SUM(($F$19+$F$20+$F$21+$F$22)*E30)+($F$23+$F$24+$F$25)</f>
        <v>0</v>
      </c>
      <c r="G30" s="10" t="s">
        <v>14</v>
      </c>
      <c r="H30" s="252"/>
      <c r="I30" s="196"/>
    </row>
    <row r="31" spans="1:9" ht="36" customHeight="1" x14ac:dyDescent="0.25">
      <c r="A31" s="90" t="s">
        <v>49</v>
      </c>
      <c r="B31" s="92" t="s">
        <v>33</v>
      </c>
      <c r="C31" s="92">
        <v>5200052440</v>
      </c>
      <c r="D31" s="93" t="s">
        <v>256</v>
      </c>
      <c r="E31" s="94"/>
      <c r="F31" s="92">
        <v>0</v>
      </c>
      <c r="G31" s="92" t="s">
        <v>225</v>
      </c>
      <c r="H31" s="198"/>
      <c r="I31" s="199"/>
    </row>
    <row r="32" spans="1:9" s="28" customFormat="1" ht="36" customHeight="1" x14ac:dyDescent="0.25">
      <c r="A32" s="90" t="s">
        <v>49</v>
      </c>
      <c r="B32" s="26"/>
      <c r="C32" s="10">
        <v>2100021888</v>
      </c>
      <c r="D32" s="11" t="s">
        <v>161</v>
      </c>
      <c r="E32" s="10">
        <v>1</v>
      </c>
      <c r="F32" s="10">
        <f>E32*$F$31</f>
        <v>0</v>
      </c>
      <c r="G32" s="10" t="s">
        <v>14</v>
      </c>
      <c r="H32" s="198"/>
      <c r="I32" s="196"/>
    </row>
    <row r="33" spans="1:9" ht="36" customHeight="1" x14ac:dyDescent="0.25">
      <c r="A33" s="90" t="s">
        <v>49</v>
      </c>
      <c r="B33" s="26"/>
      <c r="C33" s="10">
        <v>2100021988</v>
      </c>
      <c r="D33" s="11" t="s">
        <v>162</v>
      </c>
      <c r="E33" s="10">
        <v>1</v>
      </c>
      <c r="F33" s="10">
        <f>E33*$F$31</f>
        <v>0</v>
      </c>
      <c r="G33" s="10" t="s">
        <v>14</v>
      </c>
      <c r="H33" s="198"/>
      <c r="I33" s="196"/>
    </row>
    <row r="34" spans="1:9" ht="36" customHeight="1" x14ac:dyDescent="0.25">
      <c r="A34" s="90" t="s">
        <v>49</v>
      </c>
      <c r="B34" s="26"/>
      <c r="C34" s="10">
        <v>2200022466</v>
      </c>
      <c r="D34" s="11" t="s">
        <v>163</v>
      </c>
      <c r="E34" s="10">
        <v>1</v>
      </c>
      <c r="F34" s="10">
        <f>E34*$F$31</f>
        <v>0</v>
      </c>
      <c r="G34" s="10" t="s">
        <v>14</v>
      </c>
      <c r="H34" s="198"/>
      <c r="I34" s="196"/>
    </row>
    <row r="35" spans="1:9" s="28" customFormat="1" ht="36" customHeight="1" x14ac:dyDescent="0.25">
      <c r="A35" s="90" t="s">
        <v>49</v>
      </c>
      <c r="B35" s="26"/>
      <c r="C35" s="10">
        <v>2000020531</v>
      </c>
      <c r="D35" s="11" t="s">
        <v>164</v>
      </c>
      <c r="E35" s="10">
        <v>1</v>
      </c>
      <c r="F35" s="10">
        <f>E35*$F$31</f>
        <v>0</v>
      </c>
      <c r="G35" s="10" t="s">
        <v>14</v>
      </c>
      <c r="H35" s="198"/>
      <c r="I35" s="196"/>
    </row>
    <row r="36" spans="1:9" ht="36" customHeight="1" x14ac:dyDescent="0.25">
      <c r="A36" s="90" t="s">
        <v>49</v>
      </c>
      <c r="B36" s="92" t="s">
        <v>10</v>
      </c>
      <c r="C36" s="92">
        <v>4000048122</v>
      </c>
      <c r="D36" s="93" t="s">
        <v>358</v>
      </c>
      <c r="E36" s="92"/>
      <c r="F36" s="92">
        <v>0</v>
      </c>
      <c r="G36" s="92" t="s">
        <v>225</v>
      </c>
      <c r="H36" s="198"/>
      <c r="I36" s="196"/>
    </row>
    <row r="37" spans="1:9" ht="36" customHeight="1" x14ac:dyDescent="0.25">
      <c r="A37" s="90" t="s">
        <v>49</v>
      </c>
      <c r="B37" s="26"/>
      <c r="C37" s="10">
        <v>2800028062</v>
      </c>
      <c r="D37" s="11" t="s">
        <v>354</v>
      </c>
      <c r="E37" s="10">
        <v>1</v>
      </c>
      <c r="F37" s="10">
        <f>E37*$F$36</f>
        <v>0</v>
      </c>
      <c r="G37" s="10" t="s">
        <v>14</v>
      </c>
      <c r="H37" s="198"/>
      <c r="I37" s="196"/>
    </row>
    <row r="38" spans="1:9" ht="36" customHeight="1" x14ac:dyDescent="0.25">
      <c r="A38" s="90" t="s">
        <v>49</v>
      </c>
      <c r="B38" s="26"/>
      <c r="C38" s="10">
        <v>2100021850</v>
      </c>
      <c r="D38" s="11" t="s">
        <v>355</v>
      </c>
      <c r="E38" s="10">
        <v>1</v>
      </c>
      <c r="F38" s="10">
        <f>E38*$F$36</f>
        <v>0</v>
      </c>
      <c r="G38" s="10" t="s">
        <v>14</v>
      </c>
      <c r="H38" s="198"/>
      <c r="I38" s="196"/>
    </row>
    <row r="39" spans="1:9" ht="36" customHeight="1" x14ac:dyDescent="0.25">
      <c r="A39" s="90" t="s">
        <v>49</v>
      </c>
      <c r="B39" s="26"/>
      <c r="C39" s="10">
        <v>2400024170</v>
      </c>
      <c r="D39" s="11" t="s">
        <v>356</v>
      </c>
      <c r="E39" s="10">
        <v>2</v>
      </c>
      <c r="F39" s="10">
        <f>E39*$F$36</f>
        <v>0</v>
      </c>
      <c r="G39" s="10" t="s">
        <v>14</v>
      </c>
      <c r="H39" s="198"/>
      <c r="I39" s="196"/>
    </row>
    <row r="40" spans="1:9" ht="36" customHeight="1" x14ac:dyDescent="0.25">
      <c r="A40" s="90" t="s">
        <v>36</v>
      </c>
      <c r="B40" s="92" t="s">
        <v>10</v>
      </c>
      <c r="C40" s="92">
        <v>7900081280</v>
      </c>
      <c r="D40" s="93" t="s">
        <v>237</v>
      </c>
      <c r="E40" s="92"/>
      <c r="F40" s="92">
        <v>28</v>
      </c>
      <c r="G40" s="92" t="s">
        <v>225</v>
      </c>
      <c r="H40" s="198"/>
      <c r="I40" s="196"/>
    </row>
    <row r="41" spans="1:9" ht="36" customHeight="1" x14ac:dyDescent="0.25">
      <c r="A41" s="90" t="s">
        <v>36</v>
      </c>
      <c r="B41" s="26"/>
      <c r="C41" s="10">
        <v>2100021750</v>
      </c>
      <c r="D41" s="11" t="s">
        <v>167</v>
      </c>
      <c r="E41" s="10">
        <v>1</v>
      </c>
      <c r="F41" s="12">
        <f>E41*$F$40</f>
        <v>28</v>
      </c>
      <c r="G41" s="10" t="s">
        <v>14</v>
      </c>
      <c r="H41" s="198"/>
      <c r="I41" s="196"/>
    </row>
    <row r="42" spans="1:9" ht="36" customHeight="1" x14ac:dyDescent="0.25">
      <c r="A42" s="90" t="s">
        <v>36</v>
      </c>
      <c r="B42" s="26"/>
      <c r="C42" s="10">
        <v>2100021767</v>
      </c>
      <c r="D42" s="11" t="s">
        <v>168</v>
      </c>
      <c r="E42" s="10">
        <v>1</v>
      </c>
      <c r="F42" s="12">
        <f>E42*$F$40</f>
        <v>28</v>
      </c>
      <c r="G42" s="10" t="s">
        <v>14</v>
      </c>
      <c r="H42" s="198"/>
      <c r="I42" s="196"/>
    </row>
    <row r="43" spans="1:9" s="28" customFormat="1" ht="36" customHeight="1" x14ac:dyDescent="0.25">
      <c r="A43" s="90" t="s">
        <v>36</v>
      </c>
      <c r="B43" s="26"/>
      <c r="C43" s="10">
        <v>2100021882</v>
      </c>
      <c r="D43" s="11" t="s">
        <v>169</v>
      </c>
      <c r="E43" s="10">
        <v>1</v>
      </c>
      <c r="F43" s="12">
        <f>E43*$F$40</f>
        <v>28</v>
      </c>
      <c r="G43" s="10" t="s">
        <v>14</v>
      </c>
      <c r="H43" s="198"/>
      <c r="I43" s="196"/>
    </row>
    <row r="44" spans="1:9" s="28" customFormat="1" ht="36" customHeight="1" x14ac:dyDescent="0.25">
      <c r="A44" s="90" t="s">
        <v>36</v>
      </c>
      <c r="B44" s="26"/>
      <c r="C44" s="10">
        <v>2300023261</v>
      </c>
      <c r="D44" s="11" t="s">
        <v>170</v>
      </c>
      <c r="E44" s="10">
        <v>1</v>
      </c>
      <c r="F44" s="12">
        <f>E44*$F$40</f>
        <v>28</v>
      </c>
      <c r="G44" s="10" t="s">
        <v>14</v>
      </c>
      <c r="H44" s="198"/>
      <c r="I44" s="196"/>
    </row>
    <row r="45" spans="1:9" ht="36" customHeight="1" x14ac:dyDescent="0.25">
      <c r="A45" s="90" t="s">
        <v>36</v>
      </c>
      <c r="B45" s="92" t="s">
        <v>10</v>
      </c>
      <c r="C45" s="92">
        <v>7900081312</v>
      </c>
      <c r="D45" s="93" t="s">
        <v>238</v>
      </c>
      <c r="E45" s="94"/>
      <c r="F45" s="92">
        <v>41</v>
      </c>
      <c r="G45" s="92" t="s">
        <v>225</v>
      </c>
      <c r="H45" s="198"/>
      <c r="I45" s="199"/>
    </row>
    <row r="46" spans="1:9" ht="36" customHeight="1" x14ac:dyDescent="0.25">
      <c r="A46" s="90" t="s">
        <v>36</v>
      </c>
      <c r="B46" s="26"/>
      <c r="C46" s="10">
        <v>2400024019</v>
      </c>
      <c r="D46" s="11" t="s">
        <v>171</v>
      </c>
      <c r="E46" s="10">
        <v>1</v>
      </c>
      <c r="F46" s="10">
        <f>E46*$F$45</f>
        <v>41</v>
      </c>
      <c r="G46" s="10" t="s">
        <v>14</v>
      </c>
      <c r="H46" s="198"/>
      <c r="I46" s="196"/>
    </row>
    <row r="47" spans="1:9" ht="36" customHeight="1" x14ac:dyDescent="0.25">
      <c r="A47" s="90" t="s">
        <v>36</v>
      </c>
      <c r="B47" s="26"/>
      <c r="C47" s="10">
        <v>2100021179</v>
      </c>
      <c r="D47" s="11" t="s">
        <v>172</v>
      </c>
      <c r="E47" s="10">
        <v>1</v>
      </c>
      <c r="F47" s="10">
        <f>E47*$F$45</f>
        <v>41</v>
      </c>
      <c r="G47" s="10" t="s">
        <v>14</v>
      </c>
      <c r="H47" s="198"/>
      <c r="I47" s="196"/>
    </row>
    <row r="48" spans="1:9" s="28" customFormat="1" ht="36" customHeight="1" x14ac:dyDescent="0.25">
      <c r="A48" s="90" t="s">
        <v>36</v>
      </c>
      <c r="B48" s="26"/>
      <c r="C48" s="10">
        <v>2000020144</v>
      </c>
      <c r="D48" s="11" t="s">
        <v>173</v>
      </c>
      <c r="E48" s="10">
        <v>1</v>
      </c>
      <c r="F48" s="10">
        <f>E48*$F$45</f>
        <v>41</v>
      </c>
      <c r="G48" s="10" t="s">
        <v>14</v>
      </c>
      <c r="H48" s="198"/>
      <c r="I48" s="196"/>
    </row>
    <row r="49" spans="1:9" ht="36" customHeight="1" x14ac:dyDescent="0.25">
      <c r="A49" s="90" t="s">
        <v>36</v>
      </c>
      <c r="B49" s="26"/>
      <c r="C49" s="10">
        <v>2200022466</v>
      </c>
      <c r="D49" s="11" t="s">
        <v>163</v>
      </c>
      <c r="E49" s="10">
        <v>1</v>
      </c>
      <c r="F49" s="10">
        <f>E49*$F$45</f>
        <v>41</v>
      </c>
      <c r="G49" s="10" t="s">
        <v>14</v>
      </c>
      <c r="H49" s="198"/>
      <c r="I49" s="196"/>
    </row>
    <row r="50" spans="1:9" ht="36" customHeight="1" x14ac:dyDescent="0.25">
      <c r="A50" s="90" t="s">
        <v>36</v>
      </c>
      <c r="B50" s="26"/>
      <c r="C50" s="10">
        <v>2000020523</v>
      </c>
      <c r="D50" s="11" t="s">
        <v>174</v>
      </c>
      <c r="E50" s="10">
        <v>1</v>
      </c>
      <c r="F50" s="10">
        <f>E50*$F$45</f>
        <v>41</v>
      </c>
      <c r="G50" s="10" t="s">
        <v>14</v>
      </c>
      <c r="H50" s="198"/>
      <c r="I50" s="196"/>
    </row>
    <row r="51" spans="1:9" s="28" customFormat="1" ht="36" customHeight="1" x14ac:dyDescent="0.25">
      <c r="A51" s="90" t="s">
        <v>37</v>
      </c>
      <c r="B51" s="92" t="s">
        <v>10</v>
      </c>
      <c r="C51" s="92">
        <v>4900090621</v>
      </c>
      <c r="D51" s="95" t="s">
        <v>743</v>
      </c>
      <c r="E51" s="96"/>
      <c r="F51" s="92">
        <v>4</v>
      </c>
      <c r="G51" s="92" t="s">
        <v>225</v>
      </c>
      <c r="H51" s="26"/>
      <c r="I51" s="26"/>
    </row>
    <row r="52" spans="1:9" ht="36" customHeight="1" x14ac:dyDescent="0.25">
      <c r="A52" s="90" t="s">
        <v>37</v>
      </c>
      <c r="B52" s="26"/>
      <c r="C52" s="26">
        <v>2000020915</v>
      </c>
      <c r="D52" s="11" t="s">
        <v>175</v>
      </c>
      <c r="E52" s="10">
        <v>1</v>
      </c>
      <c r="F52" s="10">
        <f>F51</f>
        <v>4</v>
      </c>
      <c r="G52" s="10" t="s">
        <v>84</v>
      </c>
      <c r="H52" s="10"/>
      <c r="I52" s="10"/>
    </row>
    <row r="53" spans="1:9" ht="36" customHeight="1" x14ac:dyDescent="0.25">
      <c r="A53" s="90" t="s">
        <v>37</v>
      </c>
      <c r="B53" s="26"/>
      <c r="C53" s="26">
        <v>2100021810</v>
      </c>
      <c r="D53" s="11" t="s">
        <v>530</v>
      </c>
      <c r="E53" s="10">
        <v>1</v>
      </c>
      <c r="F53" s="10">
        <f t="shared" ref="F53:F57" si="2">F52</f>
        <v>4</v>
      </c>
      <c r="G53" s="10" t="s">
        <v>84</v>
      </c>
      <c r="H53" s="10"/>
      <c r="I53" s="10"/>
    </row>
    <row r="54" spans="1:9" ht="36" customHeight="1" x14ac:dyDescent="0.25">
      <c r="A54" s="90" t="s">
        <v>37</v>
      </c>
      <c r="B54" s="26"/>
      <c r="C54" s="26">
        <v>2200022628</v>
      </c>
      <c r="D54" s="11" t="s">
        <v>744</v>
      </c>
      <c r="E54" s="10">
        <v>1</v>
      </c>
      <c r="F54" s="10">
        <f t="shared" si="2"/>
        <v>4</v>
      </c>
      <c r="G54" s="10" t="s">
        <v>84</v>
      </c>
      <c r="H54" s="10"/>
      <c r="I54" s="10"/>
    </row>
    <row r="55" spans="1:9" ht="36" customHeight="1" x14ac:dyDescent="0.25">
      <c r="A55" s="90" t="s">
        <v>37</v>
      </c>
      <c r="B55" s="26"/>
      <c r="C55" s="26">
        <v>2100021878</v>
      </c>
      <c r="D55" s="11" t="s">
        <v>176</v>
      </c>
      <c r="E55" s="10">
        <v>1</v>
      </c>
      <c r="F55" s="10">
        <f t="shared" si="2"/>
        <v>4</v>
      </c>
      <c r="G55" s="10" t="s">
        <v>84</v>
      </c>
      <c r="H55" s="10"/>
      <c r="I55" s="10"/>
    </row>
    <row r="56" spans="1:9" ht="36" customHeight="1" x14ac:dyDescent="0.25">
      <c r="A56" s="90" t="s">
        <v>37</v>
      </c>
      <c r="B56" s="26"/>
      <c r="C56" s="26">
        <v>2000020679</v>
      </c>
      <c r="D56" s="11" t="s">
        <v>177</v>
      </c>
      <c r="E56" s="46">
        <v>1</v>
      </c>
      <c r="F56" s="10">
        <f t="shared" si="2"/>
        <v>4</v>
      </c>
      <c r="G56" s="10" t="s">
        <v>84</v>
      </c>
      <c r="H56" s="10"/>
      <c r="I56" s="10"/>
    </row>
    <row r="57" spans="1:9" ht="36" customHeight="1" x14ac:dyDescent="0.25">
      <c r="A57" s="90" t="s">
        <v>37</v>
      </c>
      <c r="B57" s="26"/>
      <c r="C57" s="26">
        <v>2100021818</v>
      </c>
      <c r="D57" s="11" t="s">
        <v>525</v>
      </c>
      <c r="E57" s="46">
        <v>1</v>
      </c>
      <c r="F57" s="10">
        <f t="shared" si="2"/>
        <v>4</v>
      </c>
      <c r="G57" s="10" t="s">
        <v>84</v>
      </c>
      <c r="H57" s="10"/>
      <c r="I57" s="10"/>
    </row>
    <row r="58" spans="1:9" ht="36" customHeight="1" x14ac:dyDescent="0.25">
      <c r="A58" s="90" t="s">
        <v>37</v>
      </c>
      <c r="B58" s="92" t="s">
        <v>10</v>
      </c>
      <c r="C58" s="92">
        <v>4900090512</v>
      </c>
      <c r="D58" s="93" t="s">
        <v>526</v>
      </c>
      <c r="E58" s="97"/>
      <c r="F58" s="92">
        <v>26</v>
      </c>
      <c r="G58" s="92" t="s">
        <v>225</v>
      </c>
      <c r="H58" s="10"/>
      <c r="I58" s="10"/>
    </row>
    <row r="59" spans="1:9" s="28" customFormat="1" ht="36" customHeight="1" x14ac:dyDescent="0.25">
      <c r="A59" s="90" t="s">
        <v>37</v>
      </c>
      <c r="B59" s="26"/>
      <c r="C59" s="10">
        <v>2100021769</v>
      </c>
      <c r="D59" s="11" t="s">
        <v>524</v>
      </c>
      <c r="E59" s="46">
        <v>1</v>
      </c>
      <c r="F59" s="10">
        <f>F58</f>
        <v>26</v>
      </c>
      <c r="G59" s="10" t="s">
        <v>84</v>
      </c>
      <c r="H59" s="26"/>
      <c r="I59" s="26"/>
    </row>
    <row r="60" spans="1:9" ht="36" customHeight="1" x14ac:dyDescent="0.25">
      <c r="A60" s="90" t="s">
        <v>37</v>
      </c>
      <c r="B60" s="26"/>
      <c r="C60" s="10">
        <v>2800028519</v>
      </c>
      <c r="D60" s="11" t="s">
        <v>178</v>
      </c>
      <c r="E60" s="46">
        <v>1</v>
      </c>
      <c r="F60" s="10">
        <f t="shared" ref="F60:F62" si="3">F59</f>
        <v>26</v>
      </c>
      <c r="G60" s="10" t="s">
        <v>84</v>
      </c>
      <c r="H60" s="10"/>
      <c r="I60" s="10"/>
    </row>
    <row r="61" spans="1:9" ht="36" customHeight="1" x14ac:dyDescent="0.25">
      <c r="A61" s="90" t="s">
        <v>37</v>
      </c>
      <c r="B61" s="26"/>
      <c r="C61" s="10">
        <v>2100021878</v>
      </c>
      <c r="D61" s="11" t="s">
        <v>176</v>
      </c>
      <c r="E61" s="46">
        <v>1</v>
      </c>
      <c r="F61" s="10">
        <f t="shared" si="3"/>
        <v>26</v>
      </c>
      <c r="G61" s="10" t="s">
        <v>84</v>
      </c>
      <c r="H61" s="10"/>
      <c r="I61" s="10"/>
    </row>
    <row r="62" spans="1:9" s="28" customFormat="1" ht="36" customHeight="1" x14ac:dyDescent="0.25">
      <c r="A62" s="90" t="s">
        <v>37</v>
      </c>
      <c r="B62" s="26"/>
      <c r="C62" s="10">
        <v>2100021810</v>
      </c>
      <c r="D62" s="11" t="s">
        <v>530</v>
      </c>
      <c r="E62" s="46">
        <v>1</v>
      </c>
      <c r="F62" s="10">
        <f t="shared" si="3"/>
        <v>26</v>
      </c>
      <c r="G62" s="10" t="s">
        <v>84</v>
      </c>
      <c r="H62" s="26"/>
      <c r="I62" s="26"/>
    </row>
    <row r="63" spans="1:9" ht="36" customHeight="1" x14ac:dyDescent="0.25">
      <c r="A63" s="90" t="s">
        <v>37</v>
      </c>
      <c r="B63" s="92" t="s">
        <v>6</v>
      </c>
      <c r="C63" s="92" t="s">
        <v>239</v>
      </c>
      <c r="D63" s="93" t="s">
        <v>243</v>
      </c>
      <c r="E63" s="97"/>
      <c r="F63" s="92">
        <v>0.04</v>
      </c>
      <c r="G63" s="92" t="s">
        <v>13</v>
      </c>
      <c r="H63" s="10"/>
      <c r="I63" s="10"/>
    </row>
    <row r="64" spans="1:9" ht="36" customHeight="1" x14ac:dyDescent="0.25">
      <c r="A64" s="90" t="s">
        <v>37</v>
      </c>
      <c r="B64" s="26"/>
      <c r="C64" s="10">
        <v>2000020307</v>
      </c>
      <c r="D64" s="11" t="s">
        <v>240</v>
      </c>
      <c r="F64" s="200">
        <f>$F$63/3</f>
        <v>1.3333333333333334E-2</v>
      </c>
      <c r="G64" s="10" t="s">
        <v>13</v>
      </c>
      <c r="H64" s="10"/>
      <c r="I64" s="10"/>
    </row>
    <row r="65" spans="1:9" ht="36" customHeight="1" x14ac:dyDescent="0.25">
      <c r="A65" s="90" t="s">
        <v>37</v>
      </c>
      <c r="B65" s="26"/>
      <c r="C65" s="10">
        <v>2100021039</v>
      </c>
      <c r="D65" s="11" t="s">
        <v>241</v>
      </c>
      <c r="F65" s="200">
        <f t="shared" ref="F65:F66" si="4">$F$63/3</f>
        <v>1.3333333333333334E-2</v>
      </c>
      <c r="G65" s="10" t="s">
        <v>13</v>
      </c>
      <c r="H65" s="10"/>
      <c r="I65" s="10"/>
    </row>
    <row r="66" spans="1:9" ht="36" customHeight="1" x14ac:dyDescent="0.25">
      <c r="A66" s="90" t="s">
        <v>37</v>
      </c>
      <c r="B66" s="26"/>
      <c r="C66" s="10">
        <v>2300023243</v>
      </c>
      <c r="D66" s="11" t="s">
        <v>242</v>
      </c>
      <c r="F66" s="200">
        <f t="shared" si="4"/>
        <v>1.3333333333333334E-2</v>
      </c>
      <c r="G66" s="10" t="s">
        <v>13</v>
      </c>
      <c r="H66" s="10"/>
      <c r="I66" s="10"/>
    </row>
    <row r="67" spans="1:9" ht="36" customHeight="1" x14ac:dyDescent="0.25">
      <c r="A67" s="91" t="s">
        <v>3</v>
      </c>
      <c r="B67" s="98" t="s">
        <v>6</v>
      </c>
      <c r="C67" s="98">
        <v>4900060135</v>
      </c>
      <c r="D67" s="99" t="s">
        <v>244</v>
      </c>
      <c r="E67" s="92"/>
      <c r="F67" s="98">
        <v>1</v>
      </c>
      <c r="G67" s="98" t="s">
        <v>225</v>
      </c>
      <c r="H67" s="47"/>
      <c r="I67" s="47"/>
    </row>
    <row r="68" spans="1:9" ht="36" customHeight="1" x14ac:dyDescent="0.25">
      <c r="A68" s="90" t="s">
        <v>3</v>
      </c>
      <c r="B68" s="26"/>
      <c r="C68" s="10">
        <v>2100021988</v>
      </c>
      <c r="D68" s="11" t="s">
        <v>162</v>
      </c>
      <c r="E68" s="10">
        <v>4</v>
      </c>
      <c r="F68" s="10">
        <f>E68*$F$67</f>
        <v>4</v>
      </c>
      <c r="G68" s="10" t="s">
        <v>14</v>
      </c>
      <c r="H68" s="10"/>
      <c r="I68" s="10"/>
    </row>
    <row r="69" spans="1:9" s="28" customFormat="1" ht="36" customHeight="1" x14ac:dyDescent="0.25">
      <c r="A69" s="90" t="s">
        <v>3</v>
      </c>
      <c r="B69" s="26"/>
      <c r="C69" s="10">
        <v>2100021882</v>
      </c>
      <c r="D69" s="11" t="s">
        <v>169</v>
      </c>
      <c r="E69" s="10">
        <v>4</v>
      </c>
      <c r="F69" s="10">
        <f>E69*$F$67</f>
        <v>4</v>
      </c>
      <c r="G69" s="10" t="s">
        <v>14</v>
      </c>
      <c r="H69" s="26"/>
      <c r="I69" s="26"/>
    </row>
    <row r="70" spans="1:9" ht="36" customHeight="1" x14ac:dyDescent="0.25">
      <c r="A70" s="90" t="s">
        <v>3</v>
      </c>
      <c r="B70" s="26"/>
      <c r="C70" s="10">
        <v>2100021745</v>
      </c>
      <c r="D70" s="11" t="s">
        <v>179</v>
      </c>
      <c r="E70" s="10">
        <v>4</v>
      </c>
      <c r="F70" s="10">
        <f>E70*$F$67</f>
        <v>4</v>
      </c>
      <c r="G70" s="10" t="s">
        <v>14</v>
      </c>
      <c r="H70" s="10"/>
      <c r="I70" s="10"/>
    </row>
    <row r="71" spans="1:9" ht="36" customHeight="1" x14ac:dyDescent="0.25">
      <c r="A71" s="90" t="s">
        <v>3</v>
      </c>
      <c r="B71" s="26"/>
      <c r="C71" s="10">
        <v>2100021920</v>
      </c>
      <c r="D71" s="31" t="s">
        <v>180</v>
      </c>
      <c r="E71" s="10">
        <v>4</v>
      </c>
      <c r="F71" s="10">
        <f>E71*$F$67</f>
        <v>4</v>
      </c>
      <c r="G71" s="10" t="s">
        <v>14</v>
      </c>
      <c r="H71" s="10"/>
      <c r="I71" s="10"/>
    </row>
    <row r="72" spans="1:9" ht="36" customHeight="1" x14ac:dyDescent="0.25">
      <c r="A72" s="91" t="s">
        <v>3</v>
      </c>
      <c r="B72" s="98" t="s">
        <v>10</v>
      </c>
      <c r="C72" s="98">
        <v>4900060162</v>
      </c>
      <c r="D72" s="99" t="s">
        <v>281</v>
      </c>
      <c r="E72" s="98"/>
      <c r="F72" s="98">
        <v>13</v>
      </c>
      <c r="G72" s="98" t="s">
        <v>225</v>
      </c>
      <c r="H72" s="10"/>
      <c r="I72" s="10"/>
    </row>
    <row r="73" spans="1:9" ht="36" customHeight="1" x14ac:dyDescent="0.25">
      <c r="A73" s="91" t="s">
        <v>3</v>
      </c>
      <c r="B73" s="26"/>
      <c r="C73" s="10">
        <v>2300023068</v>
      </c>
      <c r="D73" s="31" t="s">
        <v>607</v>
      </c>
      <c r="E73" s="10">
        <v>30</v>
      </c>
      <c r="F73" s="10">
        <f>E73*$F$72/1000</f>
        <v>0.39</v>
      </c>
      <c r="G73" s="10" t="s">
        <v>13</v>
      </c>
      <c r="H73" s="10"/>
      <c r="I73" s="10"/>
    </row>
    <row r="74" spans="1:9" ht="36" customHeight="1" x14ac:dyDescent="0.25">
      <c r="A74" s="91" t="s">
        <v>3</v>
      </c>
      <c r="B74" s="26"/>
      <c r="C74" s="10">
        <v>2100021047</v>
      </c>
      <c r="D74" s="31" t="s">
        <v>608</v>
      </c>
      <c r="E74" s="10">
        <v>15</v>
      </c>
      <c r="F74" s="10">
        <f t="shared" ref="F74:F77" si="5">E74*$F$72/1000</f>
        <v>0.19500000000000001</v>
      </c>
      <c r="G74" s="10" t="s">
        <v>13</v>
      </c>
      <c r="H74" s="10"/>
      <c r="I74" s="10"/>
    </row>
    <row r="75" spans="1:9" ht="36" customHeight="1" x14ac:dyDescent="0.25">
      <c r="A75" s="91" t="s">
        <v>3</v>
      </c>
      <c r="B75" s="26"/>
      <c r="C75" s="10">
        <v>2100021246</v>
      </c>
      <c r="D75" s="31" t="s">
        <v>282</v>
      </c>
      <c r="E75" s="10">
        <v>15</v>
      </c>
      <c r="F75" s="10">
        <f t="shared" si="5"/>
        <v>0.19500000000000001</v>
      </c>
      <c r="G75" s="10" t="s">
        <v>13</v>
      </c>
      <c r="H75" s="10"/>
      <c r="I75" s="10"/>
    </row>
    <row r="76" spans="1:9" ht="36" customHeight="1" x14ac:dyDescent="0.25">
      <c r="A76" s="91" t="s">
        <v>3</v>
      </c>
      <c r="B76" s="26"/>
      <c r="C76" s="10">
        <v>2100021846</v>
      </c>
      <c r="D76" s="31" t="s">
        <v>201</v>
      </c>
      <c r="E76" s="10">
        <v>1</v>
      </c>
      <c r="F76" s="10">
        <f>E76*$F$72</f>
        <v>13</v>
      </c>
      <c r="G76" s="10" t="s">
        <v>84</v>
      </c>
      <c r="H76" s="10"/>
      <c r="I76" s="10"/>
    </row>
    <row r="77" spans="1:9" ht="36" customHeight="1" x14ac:dyDescent="0.25">
      <c r="A77" s="91" t="s">
        <v>3</v>
      </c>
      <c r="B77" s="26"/>
      <c r="C77" s="10">
        <v>2000020372</v>
      </c>
      <c r="D77" s="31" t="s">
        <v>283</v>
      </c>
      <c r="E77" s="10">
        <v>15</v>
      </c>
      <c r="F77" s="10">
        <f t="shared" si="5"/>
        <v>0.19500000000000001</v>
      </c>
      <c r="G77" s="10" t="s">
        <v>13</v>
      </c>
      <c r="H77" s="10"/>
      <c r="I77" s="10"/>
    </row>
    <row r="78" spans="1:9" ht="36" customHeight="1" x14ac:dyDescent="0.25">
      <c r="A78" s="90" t="s">
        <v>27</v>
      </c>
      <c r="B78" s="92" t="s">
        <v>10</v>
      </c>
      <c r="C78" s="92">
        <v>4400045144</v>
      </c>
      <c r="D78" s="100" t="s">
        <v>302</v>
      </c>
      <c r="E78" s="92"/>
      <c r="F78" s="92">
        <v>0</v>
      </c>
      <c r="G78" s="92" t="s">
        <v>225</v>
      </c>
      <c r="H78" s="198"/>
      <c r="I78" s="201"/>
    </row>
    <row r="79" spans="1:9" ht="36" customHeight="1" x14ac:dyDescent="0.25">
      <c r="A79" s="90" t="s">
        <v>27</v>
      </c>
      <c r="B79" s="30"/>
      <c r="C79" s="12">
        <v>2100021880</v>
      </c>
      <c r="D79" s="34" t="s">
        <v>181</v>
      </c>
      <c r="E79" s="12">
        <v>1</v>
      </c>
      <c r="F79" s="12">
        <f>E79*($F$78)</f>
        <v>0</v>
      </c>
      <c r="G79" s="10" t="s">
        <v>14</v>
      </c>
      <c r="H79" s="198"/>
      <c r="I79" s="196"/>
    </row>
    <row r="80" spans="1:9" ht="36" customHeight="1" x14ac:dyDescent="0.25">
      <c r="A80" s="90" t="s">
        <v>27</v>
      </c>
      <c r="B80" s="30"/>
      <c r="C80" s="12">
        <v>2400024019</v>
      </c>
      <c r="D80" s="34" t="s">
        <v>171</v>
      </c>
      <c r="E80" s="12">
        <v>1</v>
      </c>
      <c r="F80" s="12">
        <f t="shared" ref="F80:F83" si="6">E80*($F$78)</f>
        <v>0</v>
      </c>
      <c r="G80" s="10" t="s">
        <v>14</v>
      </c>
      <c r="H80" s="198"/>
      <c r="I80" s="196"/>
    </row>
    <row r="81" spans="1:9" ht="36" customHeight="1" x14ac:dyDescent="0.25">
      <c r="A81" s="90" t="s">
        <v>27</v>
      </c>
      <c r="B81" s="30"/>
      <c r="C81" s="12">
        <v>2000020144</v>
      </c>
      <c r="D81" s="34" t="s">
        <v>173</v>
      </c>
      <c r="E81" s="12">
        <v>1</v>
      </c>
      <c r="F81" s="12">
        <f t="shared" si="6"/>
        <v>0</v>
      </c>
      <c r="G81" s="10" t="s">
        <v>14</v>
      </c>
      <c r="H81" s="198"/>
      <c r="I81" s="196"/>
    </row>
    <row r="82" spans="1:9" ht="36" customHeight="1" x14ac:dyDescent="0.25">
      <c r="A82" s="90" t="s">
        <v>27</v>
      </c>
      <c r="B82" s="30"/>
      <c r="C82" s="12">
        <v>2100021179</v>
      </c>
      <c r="D82" s="34" t="s">
        <v>172</v>
      </c>
      <c r="E82" s="12">
        <v>2</v>
      </c>
      <c r="F82" s="12">
        <f t="shared" si="6"/>
        <v>0</v>
      </c>
      <c r="G82" s="10" t="s">
        <v>14</v>
      </c>
      <c r="H82" s="198"/>
      <c r="I82" s="196"/>
    </row>
    <row r="83" spans="1:9" ht="36" customHeight="1" x14ac:dyDescent="0.25">
      <c r="A83" s="90" t="s">
        <v>27</v>
      </c>
      <c r="B83" s="30"/>
      <c r="C83" s="12">
        <v>2000020523</v>
      </c>
      <c r="D83" s="34" t="s">
        <v>174</v>
      </c>
      <c r="E83" s="12">
        <v>1</v>
      </c>
      <c r="F83" s="12">
        <f t="shared" si="6"/>
        <v>0</v>
      </c>
      <c r="G83" s="10" t="s">
        <v>14</v>
      </c>
      <c r="H83" s="198"/>
      <c r="I83" s="196"/>
    </row>
    <row r="84" spans="1:9" ht="36" customHeight="1" x14ac:dyDescent="0.25">
      <c r="A84" s="90" t="s">
        <v>4</v>
      </c>
      <c r="B84" s="92" t="s">
        <v>10</v>
      </c>
      <c r="C84" s="92">
        <v>4900050732</v>
      </c>
      <c r="D84" s="93" t="s">
        <v>527</v>
      </c>
      <c r="E84" s="92"/>
      <c r="F84" s="92">
        <v>11</v>
      </c>
      <c r="G84" s="92" t="s">
        <v>225</v>
      </c>
      <c r="H84" s="10"/>
      <c r="I84" s="10"/>
    </row>
    <row r="85" spans="1:9" ht="36" customHeight="1" x14ac:dyDescent="0.25">
      <c r="A85" s="90" t="s">
        <v>4</v>
      </c>
      <c r="B85" s="30"/>
      <c r="C85" s="12">
        <v>2400024470</v>
      </c>
      <c r="D85" s="34" t="s">
        <v>313</v>
      </c>
      <c r="E85" s="12">
        <v>10</v>
      </c>
      <c r="F85" s="12">
        <f>E85*$F$84</f>
        <v>110</v>
      </c>
      <c r="G85" s="10" t="s">
        <v>14</v>
      </c>
      <c r="H85" s="10"/>
      <c r="I85" s="10"/>
    </row>
    <row r="86" spans="1:9" ht="36" customHeight="1" x14ac:dyDescent="0.25">
      <c r="A86" s="90" t="s">
        <v>4</v>
      </c>
      <c r="B86" s="30"/>
      <c r="C86" s="12">
        <v>2100021862</v>
      </c>
      <c r="D86" s="34" t="s">
        <v>182</v>
      </c>
      <c r="E86" s="12">
        <v>10</v>
      </c>
      <c r="F86" s="12">
        <f>E86*$F$84</f>
        <v>110</v>
      </c>
      <c r="G86" s="10" t="s">
        <v>14</v>
      </c>
      <c r="H86" s="10"/>
      <c r="I86" s="10"/>
    </row>
    <row r="87" spans="1:9" ht="36" customHeight="1" x14ac:dyDescent="0.25">
      <c r="A87" s="90" t="s">
        <v>4</v>
      </c>
      <c r="B87" s="30"/>
      <c r="C87" s="12">
        <v>2100021880</v>
      </c>
      <c r="D87" s="34" t="s">
        <v>181</v>
      </c>
      <c r="E87" s="12">
        <v>10</v>
      </c>
      <c r="F87" s="12">
        <f>E87*$F$84</f>
        <v>110</v>
      </c>
      <c r="G87" s="10" t="s">
        <v>14</v>
      </c>
      <c r="H87" s="10"/>
      <c r="I87" s="10"/>
    </row>
    <row r="88" spans="1:9" ht="36" customHeight="1" x14ac:dyDescent="0.25">
      <c r="A88" s="90" t="s">
        <v>4</v>
      </c>
      <c r="B88" s="30"/>
      <c r="C88" s="12">
        <v>2100021957</v>
      </c>
      <c r="D88" s="34" t="s">
        <v>528</v>
      </c>
      <c r="E88" s="12">
        <v>10</v>
      </c>
      <c r="F88" s="12">
        <f>E88*$F$84</f>
        <v>110</v>
      </c>
      <c r="G88" s="10" t="s">
        <v>14</v>
      </c>
      <c r="H88" s="10"/>
      <c r="I88" s="10"/>
    </row>
    <row r="89" spans="1:9" ht="36" customHeight="1" x14ac:dyDescent="0.25">
      <c r="A89" s="90" t="s">
        <v>4</v>
      </c>
      <c r="B89" s="92" t="s">
        <v>10</v>
      </c>
      <c r="C89" s="92">
        <v>7400074430</v>
      </c>
      <c r="D89" s="93" t="s">
        <v>529</v>
      </c>
      <c r="E89" s="94"/>
      <c r="F89" s="92">
        <v>159</v>
      </c>
      <c r="G89" s="92" t="s">
        <v>225</v>
      </c>
      <c r="H89" s="10"/>
      <c r="I89" s="10"/>
    </row>
    <row r="90" spans="1:9" ht="36" customHeight="1" x14ac:dyDescent="0.25">
      <c r="A90" s="90" t="s">
        <v>4</v>
      </c>
      <c r="B90" s="92" t="s">
        <v>33</v>
      </c>
      <c r="C90" s="92">
        <v>4200042806</v>
      </c>
      <c r="D90" s="93" t="s">
        <v>537</v>
      </c>
      <c r="E90" s="94"/>
      <c r="F90" s="92">
        <v>132</v>
      </c>
      <c r="G90" s="92" t="s">
        <v>225</v>
      </c>
      <c r="H90" s="10"/>
      <c r="I90" s="10"/>
    </row>
    <row r="91" spans="1:9" ht="36" customHeight="1" x14ac:dyDescent="0.25">
      <c r="A91" s="90" t="s">
        <v>4</v>
      </c>
      <c r="B91" s="92" t="s">
        <v>33</v>
      </c>
      <c r="C91" s="92">
        <v>4200043018</v>
      </c>
      <c r="D91" s="93" t="s">
        <v>538</v>
      </c>
      <c r="E91" s="94"/>
      <c r="F91" s="92">
        <v>43</v>
      </c>
      <c r="G91" s="92" t="s">
        <v>225</v>
      </c>
      <c r="H91" s="10"/>
      <c r="I91" s="10"/>
    </row>
    <row r="92" spans="1:9" ht="36" customHeight="1" x14ac:dyDescent="0.25">
      <c r="A92" s="90" t="s">
        <v>4</v>
      </c>
      <c r="B92" s="30"/>
      <c r="C92" s="12">
        <v>2100021988</v>
      </c>
      <c r="D92" s="34" t="s">
        <v>162</v>
      </c>
      <c r="E92" s="12">
        <v>2</v>
      </c>
      <c r="F92" s="12">
        <f>SUM($F$89+$F$90+$F$91)</f>
        <v>334</v>
      </c>
      <c r="G92" s="10" t="s">
        <v>14</v>
      </c>
      <c r="H92" s="10"/>
      <c r="I92" s="10"/>
    </row>
    <row r="93" spans="1:9" ht="36" customHeight="1" x14ac:dyDescent="0.25">
      <c r="A93" s="90" t="s">
        <v>4</v>
      </c>
      <c r="B93" s="30"/>
      <c r="C93" s="12">
        <v>2200022813</v>
      </c>
      <c r="D93" s="34" t="s">
        <v>183</v>
      </c>
      <c r="E93" s="12">
        <v>1</v>
      </c>
      <c r="F93" s="12">
        <f>SUM($F$89+$F$90+$F$91)</f>
        <v>334</v>
      </c>
      <c r="G93" s="10" t="s">
        <v>14</v>
      </c>
      <c r="H93" s="10"/>
      <c r="I93" s="10"/>
    </row>
    <row r="94" spans="1:9" ht="36" customHeight="1" x14ac:dyDescent="0.25">
      <c r="A94" s="90" t="s">
        <v>4</v>
      </c>
      <c r="B94" s="30"/>
      <c r="C94" s="12">
        <v>2200022854</v>
      </c>
      <c r="D94" s="34" t="s">
        <v>203</v>
      </c>
      <c r="E94" s="12">
        <v>1</v>
      </c>
      <c r="F94" s="12">
        <f>SUM($F$89+$F$90+$F$91)</f>
        <v>334</v>
      </c>
      <c r="G94" s="10" t="s">
        <v>14</v>
      </c>
      <c r="H94" s="10"/>
      <c r="I94" s="10"/>
    </row>
    <row r="95" spans="1:9" ht="36" customHeight="1" x14ac:dyDescent="0.25">
      <c r="A95" s="90" t="s">
        <v>4</v>
      </c>
      <c r="B95" s="30"/>
      <c r="C95" s="12">
        <v>2200022466</v>
      </c>
      <c r="D95" s="34" t="s">
        <v>163</v>
      </c>
      <c r="E95" s="12">
        <v>1</v>
      </c>
      <c r="F95" s="12">
        <f>SUM($F$89+$F$90+$F$91)</f>
        <v>334</v>
      </c>
      <c r="G95" s="10" t="s">
        <v>14</v>
      </c>
      <c r="H95" s="10"/>
      <c r="I95" s="10"/>
    </row>
    <row r="96" spans="1:9" ht="36" customHeight="1" x14ac:dyDescent="0.25">
      <c r="A96" s="90" t="s">
        <v>4</v>
      </c>
      <c r="B96" s="92" t="s">
        <v>262</v>
      </c>
      <c r="C96" s="92" t="s">
        <v>314</v>
      </c>
      <c r="D96" s="93" t="s">
        <v>315</v>
      </c>
      <c r="E96" s="92"/>
      <c r="F96" s="92">
        <v>0.28000000000000003</v>
      </c>
      <c r="G96" s="92" t="s">
        <v>13</v>
      </c>
      <c r="H96" s="10"/>
      <c r="I96" s="10"/>
    </row>
    <row r="97" spans="1:9" ht="36" customHeight="1" x14ac:dyDescent="0.25">
      <c r="A97" s="90" t="s">
        <v>4</v>
      </c>
      <c r="B97" s="30"/>
      <c r="C97" s="12">
        <v>2000020307</v>
      </c>
      <c r="D97" s="34" t="s">
        <v>240</v>
      </c>
      <c r="E97" s="12"/>
      <c r="F97" s="12">
        <v>0.10100000000000001</v>
      </c>
      <c r="G97" s="10" t="s">
        <v>13</v>
      </c>
      <c r="H97" s="10"/>
      <c r="I97" s="10"/>
    </row>
    <row r="98" spans="1:9" ht="36" customHeight="1" x14ac:dyDescent="0.25">
      <c r="A98" s="90" t="s">
        <v>4</v>
      </c>
      <c r="B98" s="30"/>
      <c r="C98" s="12">
        <v>2300023702</v>
      </c>
      <c r="D98" s="34" t="s">
        <v>316</v>
      </c>
      <c r="E98" s="12"/>
      <c r="F98" s="12">
        <v>0.10100000000000001</v>
      </c>
      <c r="G98" s="10" t="s">
        <v>13</v>
      </c>
      <c r="H98" s="10"/>
      <c r="I98" s="10"/>
    </row>
    <row r="99" spans="1:9" ht="36" customHeight="1" x14ac:dyDescent="0.25">
      <c r="A99" s="90" t="s">
        <v>4</v>
      </c>
      <c r="B99" s="30"/>
      <c r="C99" s="12">
        <v>2000020372</v>
      </c>
      <c r="D99" s="34" t="s">
        <v>283</v>
      </c>
      <c r="E99" s="12"/>
      <c r="F99" s="12">
        <v>0.10100000000000001</v>
      </c>
      <c r="G99" s="10" t="s">
        <v>13</v>
      </c>
      <c r="H99" s="10"/>
      <c r="I99" s="10"/>
    </row>
    <row r="100" spans="1:9" ht="36" customHeight="1" x14ac:dyDescent="0.25">
      <c r="A100" s="90" t="s">
        <v>4</v>
      </c>
      <c r="B100" s="92"/>
      <c r="C100" s="92">
        <v>7800078585</v>
      </c>
      <c r="D100" s="93" t="s">
        <v>272</v>
      </c>
      <c r="E100" s="92"/>
      <c r="F100" s="92">
        <v>4</v>
      </c>
      <c r="G100" s="92" t="s">
        <v>225</v>
      </c>
      <c r="H100" s="10"/>
      <c r="I100" s="10"/>
    </row>
    <row r="101" spans="1:9" ht="36" customHeight="1" x14ac:dyDescent="0.25">
      <c r="A101" s="90" t="s">
        <v>4</v>
      </c>
      <c r="B101" s="30"/>
      <c r="C101" s="12">
        <v>2100021920</v>
      </c>
      <c r="D101" s="34" t="s">
        <v>180</v>
      </c>
      <c r="E101" s="12">
        <v>1</v>
      </c>
      <c r="F101" s="12">
        <f>$F$100</f>
        <v>4</v>
      </c>
      <c r="G101" s="10" t="s">
        <v>14</v>
      </c>
      <c r="H101" s="10"/>
      <c r="I101" s="10"/>
    </row>
    <row r="102" spans="1:9" ht="36" customHeight="1" x14ac:dyDescent="0.25">
      <c r="A102" s="90" t="s">
        <v>4</v>
      </c>
      <c r="B102" s="30"/>
      <c r="C102" s="12">
        <v>2100021809</v>
      </c>
      <c r="D102" s="34" t="s">
        <v>271</v>
      </c>
      <c r="E102" s="12">
        <v>1</v>
      </c>
      <c r="F102" s="12">
        <f>$F$100</f>
        <v>4</v>
      </c>
      <c r="G102" s="10" t="s">
        <v>14</v>
      </c>
      <c r="H102" s="10"/>
      <c r="I102" s="10"/>
    </row>
    <row r="103" spans="1:9" ht="36" customHeight="1" x14ac:dyDescent="0.25">
      <c r="A103" s="90" t="s">
        <v>4</v>
      </c>
      <c r="B103" s="30"/>
      <c r="C103" s="12">
        <v>2100021745</v>
      </c>
      <c r="D103" s="34" t="s">
        <v>179</v>
      </c>
      <c r="E103" s="12">
        <v>1</v>
      </c>
      <c r="F103" s="12">
        <f>$F$100</f>
        <v>4</v>
      </c>
      <c r="G103" s="10" t="s">
        <v>14</v>
      </c>
      <c r="H103" s="10"/>
      <c r="I103" s="10"/>
    </row>
    <row r="104" spans="1:9" ht="36" customHeight="1" x14ac:dyDescent="0.25">
      <c r="A104" s="90" t="s">
        <v>4</v>
      </c>
      <c r="B104" s="92" t="s">
        <v>33</v>
      </c>
      <c r="C104" s="92" t="s">
        <v>274</v>
      </c>
      <c r="D104" s="93" t="s">
        <v>273</v>
      </c>
      <c r="E104" s="92"/>
      <c r="F104" s="92">
        <v>2</v>
      </c>
      <c r="G104" s="92" t="s">
        <v>26</v>
      </c>
      <c r="H104" s="10"/>
      <c r="I104" s="10"/>
    </row>
    <row r="105" spans="1:9" ht="36" customHeight="1" x14ac:dyDescent="0.25">
      <c r="A105" s="90" t="s">
        <v>4</v>
      </c>
      <c r="B105" s="30"/>
      <c r="C105" s="12">
        <v>2000020679</v>
      </c>
      <c r="D105" s="34" t="s">
        <v>177</v>
      </c>
      <c r="E105" s="12"/>
      <c r="F105" s="12">
        <v>4</v>
      </c>
      <c r="G105" s="10" t="s">
        <v>84</v>
      </c>
      <c r="H105" s="10"/>
      <c r="I105" s="10"/>
    </row>
    <row r="106" spans="1:9" ht="36" customHeight="1" x14ac:dyDescent="0.25">
      <c r="A106" s="90" t="s">
        <v>41</v>
      </c>
      <c r="B106" s="92" t="s">
        <v>10</v>
      </c>
      <c r="C106" s="92">
        <v>4900052874</v>
      </c>
      <c r="D106" s="93" t="s">
        <v>264</v>
      </c>
      <c r="E106" s="92"/>
      <c r="F106" s="92">
        <v>32</v>
      </c>
      <c r="G106" s="92" t="s">
        <v>225</v>
      </c>
      <c r="H106" s="10"/>
      <c r="I106" s="117"/>
    </row>
    <row r="107" spans="1:9" ht="36" customHeight="1" x14ac:dyDescent="0.25">
      <c r="A107" s="90" t="s">
        <v>41</v>
      </c>
      <c r="B107" s="92" t="s">
        <v>33</v>
      </c>
      <c r="C107" s="92">
        <v>4900048010</v>
      </c>
      <c r="D107" s="93" t="s">
        <v>265</v>
      </c>
      <c r="E107" s="92"/>
      <c r="F107" s="92">
        <v>49</v>
      </c>
      <c r="G107" s="92" t="s">
        <v>225</v>
      </c>
      <c r="H107" s="10"/>
      <c r="I107" s="117"/>
    </row>
    <row r="108" spans="1:9" ht="36" customHeight="1" x14ac:dyDescent="0.25">
      <c r="A108" s="90" t="s">
        <v>41</v>
      </c>
      <c r="B108" s="92" t="s">
        <v>10</v>
      </c>
      <c r="C108" s="92">
        <v>4900091698</v>
      </c>
      <c r="D108" s="93" t="s">
        <v>465</v>
      </c>
      <c r="E108" s="92"/>
      <c r="F108" s="92">
        <v>4</v>
      </c>
      <c r="G108" s="92" t="s">
        <v>225</v>
      </c>
      <c r="H108" s="10"/>
      <c r="I108" s="117"/>
    </row>
    <row r="109" spans="1:9" ht="36" customHeight="1" x14ac:dyDescent="0.25">
      <c r="A109" s="90" t="s">
        <v>41</v>
      </c>
      <c r="B109" s="92"/>
      <c r="C109" s="92">
        <v>4300043296</v>
      </c>
      <c r="D109" s="93" t="s">
        <v>266</v>
      </c>
      <c r="E109" s="92"/>
      <c r="F109" s="92">
        <v>11</v>
      </c>
      <c r="G109" s="112" t="s">
        <v>225</v>
      </c>
      <c r="H109" s="10"/>
      <c r="I109" s="117"/>
    </row>
    <row r="110" spans="1:9" ht="36" customHeight="1" x14ac:dyDescent="0.25">
      <c r="A110" s="90" t="s">
        <v>41</v>
      </c>
      <c r="B110" s="30"/>
      <c r="C110" s="12">
        <v>2800028824</v>
      </c>
      <c r="D110" s="34" t="s">
        <v>184</v>
      </c>
      <c r="E110" s="12">
        <v>1</v>
      </c>
      <c r="F110" s="12">
        <f>(F106+F107+F108+F109)</f>
        <v>96</v>
      </c>
      <c r="G110" s="113" t="s">
        <v>14</v>
      </c>
      <c r="H110" s="10"/>
      <c r="I110" s="201"/>
    </row>
    <row r="111" spans="1:9" s="28" customFormat="1" ht="36" customHeight="1" x14ac:dyDescent="0.25">
      <c r="A111" s="90" t="s">
        <v>41</v>
      </c>
      <c r="B111" s="30"/>
      <c r="C111" s="12">
        <v>2500025243</v>
      </c>
      <c r="D111" s="34" t="s">
        <v>185</v>
      </c>
      <c r="E111" s="12">
        <v>1</v>
      </c>
      <c r="F111" s="12">
        <f>(F107+F108+F109+F106)</f>
        <v>96</v>
      </c>
      <c r="G111" s="113" t="s">
        <v>14</v>
      </c>
      <c r="H111" s="26"/>
      <c r="I111" s="201"/>
    </row>
    <row r="112" spans="1:9" ht="36" customHeight="1" x14ac:dyDescent="0.25">
      <c r="A112" s="90" t="s">
        <v>41</v>
      </c>
      <c r="B112" s="30"/>
      <c r="C112" s="12">
        <v>2200022813</v>
      </c>
      <c r="D112" s="34" t="s">
        <v>183</v>
      </c>
      <c r="E112" s="12">
        <v>1</v>
      </c>
      <c r="F112" s="12">
        <f>(F108+F109+F106+F107)</f>
        <v>96</v>
      </c>
      <c r="G112" s="113" t="s">
        <v>14</v>
      </c>
      <c r="H112" s="10"/>
      <c r="I112" s="201"/>
    </row>
    <row r="113" spans="1:9" ht="36" customHeight="1" x14ac:dyDescent="0.25">
      <c r="A113" s="90" t="s">
        <v>142</v>
      </c>
      <c r="B113" s="92" t="s">
        <v>35</v>
      </c>
      <c r="C113" s="92">
        <v>4900057537</v>
      </c>
      <c r="D113" s="93" t="s">
        <v>753</v>
      </c>
      <c r="E113" s="92"/>
      <c r="F113" s="92">
        <v>36</v>
      </c>
      <c r="G113" s="112" t="s">
        <v>225</v>
      </c>
      <c r="H113" s="10"/>
      <c r="I113" s="237" t="s">
        <v>253</v>
      </c>
    </row>
    <row r="114" spans="1:9" ht="36" customHeight="1" x14ac:dyDescent="0.25">
      <c r="A114" s="90" t="s">
        <v>142</v>
      </c>
      <c r="B114" s="92" t="s">
        <v>35</v>
      </c>
      <c r="C114" s="92">
        <v>4900057597</v>
      </c>
      <c r="D114" s="93" t="s">
        <v>756</v>
      </c>
      <c r="E114" s="92"/>
      <c r="F114" s="92">
        <v>2</v>
      </c>
      <c r="G114" s="112" t="s">
        <v>225</v>
      </c>
      <c r="H114" s="10"/>
      <c r="I114" s="238"/>
    </row>
    <row r="115" spans="1:9" ht="36" customHeight="1" x14ac:dyDescent="0.25">
      <c r="A115" s="90" t="s">
        <v>142</v>
      </c>
      <c r="B115" s="30"/>
      <c r="C115" s="12" t="s">
        <v>186</v>
      </c>
      <c r="D115" s="34" t="s">
        <v>187</v>
      </c>
      <c r="E115" s="12">
        <v>1</v>
      </c>
      <c r="F115" s="12">
        <f>E115*($F$113+$F$114)</f>
        <v>38</v>
      </c>
      <c r="G115" s="113" t="s">
        <v>14</v>
      </c>
      <c r="H115" s="10"/>
      <c r="I115" s="10"/>
    </row>
    <row r="116" spans="1:9" ht="36" customHeight="1" x14ac:dyDescent="0.25">
      <c r="A116" s="90" t="s">
        <v>142</v>
      </c>
      <c r="B116" s="30"/>
      <c r="C116" s="12" t="s">
        <v>188</v>
      </c>
      <c r="D116" s="34" t="s">
        <v>189</v>
      </c>
      <c r="E116" s="12">
        <v>1</v>
      </c>
      <c r="F116" s="12">
        <f>E116*($F$113+$F$114)</f>
        <v>38</v>
      </c>
      <c r="G116" s="113" t="s">
        <v>14</v>
      </c>
      <c r="H116" s="10"/>
      <c r="I116" s="10"/>
    </row>
    <row r="117" spans="1:9" ht="36" customHeight="1" x14ac:dyDescent="0.25">
      <c r="A117" s="90" t="s">
        <v>142</v>
      </c>
      <c r="B117" s="30"/>
      <c r="C117" s="12" t="s">
        <v>754</v>
      </c>
      <c r="D117" s="34" t="s">
        <v>755</v>
      </c>
      <c r="E117" s="12">
        <v>1</v>
      </c>
      <c r="F117" s="12">
        <f>E117*($F$113+$F$114)</f>
        <v>38</v>
      </c>
      <c r="G117" s="113" t="s">
        <v>14</v>
      </c>
      <c r="H117" s="10"/>
      <c r="I117" s="10"/>
    </row>
    <row r="118" spans="1:9" ht="36" customHeight="1" x14ac:dyDescent="0.25">
      <c r="A118" s="90" t="s">
        <v>142</v>
      </c>
      <c r="B118" s="30"/>
      <c r="C118" s="12" t="s">
        <v>190</v>
      </c>
      <c r="D118" s="34" t="s">
        <v>191</v>
      </c>
      <c r="E118" s="12">
        <v>2</v>
      </c>
      <c r="F118" s="12">
        <f>E118*($F$113+$F$114)</f>
        <v>76</v>
      </c>
      <c r="G118" s="113" t="s">
        <v>14</v>
      </c>
      <c r="H118" s="10"/>
      <c r="I118" s="10"/>
    </row>
    <row r="119" spans="1:9" ht="36" customHeight="1" x14ac:dyDescent="0.25">
      <c r="A119" s="90" t="s">
        <v>142</v>
      </c>
      <c r="B119" s="30"/>
      <c r="C119" s="12" t="s">
        <v>192</v>
      </c>
      <c r="D119" s="34" t="s">
        <v>193</v>
      </c>
      <c r="E119" s="12">
        <v>1</v>
      </c>
      <c r="F119" s="12">
        <f>E119*($F$113+$F$114)</f>
        <v>38</v>
      </c>
      <c r="G119" s="113" t="s">
        <v>14</v>
      </c>
      <c r="H119" s="10"/>
      <c r="I119" s="10"/>
    </row>
    <row r="120" spans="1:9" ht="36" customHeight="1" x14ac:dyDescent="0.25">
      <c r="A120" s="90" t="s">
        <v>42</v>
      </c>
      <c r="B120" s="92" t="s">
        <v>10</v>
      </c>
      <c r="C120" s="92">
        <v>7900080171</v>
      </c>
      <c r="D120" s="93" t="s">
        <v>194</v>
      </c>
      <c r="E120" s="92"/>
      <c r="F120" s="92">
        <v>18</v>
      </c>
      <c r="G120" s="92" t="s">
        <v>225</v>
      </c>
      <c r="H120" s="10"/>
      <c r="I120" s="10"/>
    </row>
    <row r="121" spans="1:9" ht="36" customHeight="1" x14ac:dyDescent="0.25">
      <c r="A121" s="90" t="s">
        <v>42</v>
      </c>
      <c r="B121" s="92" t="s">
        <v>10</v>
      </c>
      <c r="C121" s="92">
        <v>8100081798</v>
      </c>
      <c r="D121" s="93" t="s">
        <v>195</v>
      </c>
      <c r="E121" s="92"/>
      <c r="F121" s="92">
        <v>2</v>
      </c>
      <c r="G121" s="92" t="s">
        <v>225</v>
      </c>
      <c r="H121" s="10"/>
      <c r="I121" s="10"/>
    </row>
    <row r="122" spans="1:9" ht="36" customHeight="1" x14ac:dyDescent="0.25">
      <c r="A122" s="90" t="s">
        <v>42</v>
      </c>
      <c r="B122" s="30"/>
      <c r="C122" s="12">
        <v>2000121709</v>
      </c>
      <c r="D122" s="34" t="s">
        <v>196</v>
      </c>
      <c r="E122" s="12">
        <v>1</v>
      </c>
      <c r="F122" s="12">
        <f>E122*($F$120+$F$121)</f>
        <v>20</v>
      </c>
      <c r="G122" s="10" t="s">
        <v>14</v>
      </c>
      <c r="H122" s="10"/>
      <c r="I122" s="10"/>
    </row>
    <row r="123" spans="1:9" ht="36" customHeight="1" x14ac:dyDescent="0.25">
      <c r="A123" s="90" t="s">
        <v>42</v>
      </c>
      <c r="B123" s="30"/>
      <c r="C123" s="12">
        <v>2300023579</v>
      </c>
      <c r="D123" s="34" t="s">
        <v>197</v>
      </c>
      <c r="E123" s="12">
        <v>1</v>
      </c>
      <c r="F123" s="12">
        <f>E123*($F$120+$F$121)</f>
        <v>20</v>
      </c>
      <c r="G123" s="10" t="s">
        <v>14</v>
      </c>
      <c r="H123" s="10"/>
      <c r="I123" s="10"/>
    </row>
    <row r="124" spans="1:9" s="28" customFormat="1" ht="36" customHeight="1" x14ac:dyDescent="0.25">
      <c r="A124" s="90" t="s">
        <v>42</v>
      </c>
      <c r="B124" s="26"/>
      <c r="C124" s="12">
        <v>2100021745</v>
      </c>
      <c r="D124" s="34" t="s">
        <v>179</v>
      </c>
      <c r="E124" s="12">
        <v>1</v>
      </c>
      <c r="F124" s="12">
        <f>E124*($F$120+$F$121)</f>
        <v>20</v>
      </c>
      <c r="G124" s="10" t="s">
        <v>14</v>
      </c>
      <c r="H124" s="26"/>
      <c r="I124" s="26"/>
    </row>
    <row r="125" spans="1:9" ht="36" customHeight="1" x14ac:dyDescent="0.25">
      <c r="A125" s="90" t="s">
        <v>42</v>
      </c>
      <c r="B125" s="30"/>
      <c r="C125" s="12">
        <v>2000020523</v>
      </c>
      <c r="D125" s="34" t="s">
        <v>174</v>
      </c>
      <c r="E125" s="12">
        <v>1</v>
      </c>
      <c r="F125" s="12">
        <f>E125*($F$120+$F$121)</f>
        <v>20</v>
      </c>
      <c r="G125" s="10" t="s">
        <v>14</v>
      </c>
      <c r="H125" s="10"/>
      <c r="I125" s="10"/>
    </row>
    <row r="126" spans="1:9" ht="36" customHeight="1" x14ac:dyDescent="0.25">
      <c r="A126" s="90" t="s">
        <v>42</v>
      </c>
      <c r="B126" s="30"/>
      <c r="C126" s="12">
        <v>2000020679</v>
      </c>
      <c r="D126" s="34" t="s">
        <v>177</v>
      </c>
      <c r="E126" s="12">
        <v>1</v>
      </c>
      <c r="F126" s="12">
        <f>E126*($F$120+$F$121)</f>
        <v>20</v>
      </c>
      <c r="G126" s="10" t="s">
        <v>14</v>
      </c>
      <c r="H126" s="10"/>
      <c r="I126" s="10"/>
    </row>
    <row r="127" spans="1:9" ht="36" customHeight="1" x14ac:dyDescent="0.25">
      <c r="A127" s="90" t="s">
        <v>130</v>
      </c>
      <c r="B127" s="92" t="s">
        <v>10</v>
      </c>
      <c r="C127" s="92">
        <v>7100077060</v>
      </c>
      <c r="D127" s="93" t="s">
        <v>198</v>
      </c>
      <c r="E127" s="92"/>
      <c r="F127" s="92">
        <v>13</v>
      </c>
      <c r="G127" s="92" t="s">
        <v>225</v>
      </c>
      <c r="H127" s="10"/>
      <c r="I127" s="10"/>
    </row>
    <row r="128" spans="1:9" ht="36" customHeight="1" x14ac:dyDescent="0.25">
      <c r="A128" s="90" t="s">
        <v>130</v>
      </c>
      <c r="B128" s="92" t="s">
        <v>10</v>
      </c>
      <c r="C128" s="92">
        <v>7100077192</v>
      </c>
      <c r="D128" s="93" t="s">
        <v>199</v>
      </c>
      <c r="E128" s="92"/>
      <c r="F128" s="92">
        <v>1</v>
      </c>
      <c r="G128" s="92" t="s">
        <v>225</v>
      </c>
      <c r="H128" s="10"/>
      <c r="I128" s="10"/>
    </row>
    <row r="129" spans="1:9" ht="36" customHeight="1" x14ac:dyDescent="0.25">
      <c r="A129" s="90" t="s">
        <v>130</v>
      </c>
      <c r="B129" s="92" t="s">
        <v>10</v>
      </c>
      <c r="C129" s="92">
        <v>7100077194</v>
      </c>
      <c r="D129" s="93" t="s">
        <v>200</v>
      </c>
      <c r="E129" s="92"/>
      <c r="F129" s="92">
        <v>3</v>
      </c>
      <c r="G129" s="92" t="s">
        <v>225</v>
      </c>
      <c r="H129" s="10"/>
      <c r="I129" s="10"/>
    </row>
    <row r="130" spans="1:9" ht="36" customHeight="1" x14ac:dyDescent="0.25">
      <c r="A130" s="90" t="s">
        <v>130</v>
      </c>
      <c r="B130" s="30"/>
      <c r="C130" s="12">
        <v>2100021880</v>
      </c>
      <c r="D130" s="34" t="s">
        <v>181</v>
      </c>
      <c r="E130" s="12">
        <v>1</v>
      </c>
      <c r="F130" s="12">
        <f>E130*($F$127+$F$128+$F$129)</f>
        <v>17</v>
      </c>
      <c r="G130" s="10" t="s">
        <v>14</v>
      </c>
      <c r="H130" s="10"/>
      <c r="I130" s="10"/>
    </row>
    <row r="131" spans="1:9" s="28" customFormat="1" ht="36" customHeight="1" x14ac:dyDescent="0.25">
      <c r="A131" s="90" t="s">
        <v>130</v>
      </c>
      <c r="B131" s="26"/>
      <c r="C131" s="10">
        <v>2100021982</v>
      </c>
      <c r="D131" s="11" t="s">
        <v>165</v>
      </c>
      <c r="E131" s="10">
        <v>1</v>
      </c>
      <c r="F131" s="12">
        <f>E131*($F$127+$F$128+$F$129)</f>
        <v>17</v>
      </c>
      <c r="G131" s="10" t="s">
        <v>14</v>
      </c>
      <c r="H131" s="26"/>
      <c r="I131" s="26"/>
    </row>
    <row r="132" spans="1:9" s="28" customFormat="1" ht="36" customHeight="1" x14ac:dyDescent="0.25">
      <c r="A132" s="90" t="s">
        <v>130</v>
      </c>
      <c r="B132" s="26"/>
      <c r="C132" s="10">
        <v>2400024019</v>
      </c>
      <c r="D132" s="11" t="s">
        <v>171</v>
      </c>
      <c r="E132" s="10">
        <v>1</v>
      </c>
      <c r="F132" s="12">
        <f>E132*($F$127+$F$128+$F$129)</f>
        <v>17</v>
      </c>
      <c r="G132" s="10" t="s">
        <v>14</v>
      </c>
      <c r="H132" s="26"/>
      <c r="I132" s="26"/>
    </row>
    <row r="133" spans="1:9" ht="36" customHeight="1" x14ac:dyDescent="0.25">
      <c r="A133" s="90" t="s">
        <v>130</v>
      </c>
      <c r="B133" s="26"/>
      <c r="C133" s="10">
        <v>2100021846</v>
      </c>
      <c r="D133" s="11" t="s">
        <v>201</v>
      </c>
      <c r="E133" s="10">
        <v>1</v>
      </c>
      <c r="F133" s="12">
        <f>E133*($F$127+$F$128+$F$129)</f>
        <v>17</v>
      </c>
      <c r="G133" s="10" t="s">
        <v>14</v>
      </c>
      <c r="H133" s="10"/>
      <c r="I133" s="10"/>
    </row>
    <row r="134" spans="1:9" ht="36" customHeight="1" x14ac:dyDescent="0.25">
      <c r="A134" s="90" t="s">
        <v>130</v>
      </c>
      <c r="B134" s="26"/>
      <c r="C134" s="10">
        <v>2000020915</v>
      </c>
      <c r="D134" s="11" t="s">
        <v>175</v>
      </c>
      <c r="E134" s="10">
        <v>1</v>
      </c>
      <c r="F134" s="12">
        <f>E134*($F$127+$F$128+$F$129)</f>
        <v>17</v>
      </c>
      <c r="G134" s="10" t="s">
        <v>14</v>
      </c>
      <c r="H134" s="10"/>
      <c r="I134" s="10"/>
    </row>
    <row r="135" spans="1:9" ht="36" customHeight="1" x14ac:dyDescent="0.25">
      <c r="A135" s="90" t="s">
        <v>45</v>
      </c>
      <c r="B135" s="92" t="s">
        <v>10</v>
      </c>
      <c r="C135" s="92">
        <v>7300073920</v>
      </c>
      <c r="D135" s="93" t="s">
        <v>246</v>
      </c>
      <c r="E135" s="92"/>
      <c r="F135" s="92">
        <v>6</v>
      </c>
      <c r="G135" s="92" t="s">
        <v>225</v>
      </c>
      <c r="H135" s="10"/>
      <c r="I135" s="10"/>
    </row>
    <row r="136" spans="1:9" ht="36" customHeight="1" x14ac:dyDescent="0.25">
      <c r="A136" s="90" t="s">
        <v>45</v>
      </c>
      <c r="B136" s="26"/>
      <c r="C136" s="10">
        <v>2100021036</v>
      </c>
      <c r="D136" s="11" t="s">
        <v>213</v>
      </c>
      <c r="E136" s="10"/>
      <c r="F136" s="10">
        <f>F135</f>
        <v>6</v>
      </c>
      <c r="G136" s="10" t="s">
        <v>84</v>
      </c>
      <c r="H136" s="10"/>
      <c r="I136" s="10"/>
    </row>
    <row r="137" spans="1:9" ht="36" customHeight="1" x14ac:dyDescent="0.25">
      <c r="A137" s="90" t="s">
        <v>45</v>
      </c>
      <c r="B137" s="26"/>
      <c r="C137" s="10">
        <v>2200022849</v>
      </c>
      <c r="D137" s="11" t="s">
        <v>211</v>
      </c>
      <c r="E137" s="10"/>
      <c r="F137" s="10">
        <f>F136</f>
        <v>6</v>
      </c>
      <c r="G137" s="10" t="s">
        <v>84</v>
      </c>
      <c r="H137" s="10"/>
      <c r="I137" s="10"/>
    </row>
    <row r="138" spans="1:9" ht="36" customHeight="1" x14ac:dyDescent="0.25">
      <c r="A138" s="90" t="s">
        <v>45</v>
      </c>
      <c r="B138" s="26"/>
      <c r="C138" s="10">
        <v>2100021767</v>
      </c>
      <c r="D138" s="11" t="s">
        <v>168</v>
      </c>
      <c r="E138" s="10"/>
      <c r="F138" s="10">
        <f>F137</f>
        <v>6</v>
      </c>
      <c r="G138" s="10" t="s">
        <v>84</v>
      </c>
      <c r="H138" s="10"/>
      <c r="I138" s="10"/>
    </row>
    <row r="139" spans="1:9" ht="36" customHeight="1" x14ac:dyDescent="0.25">
      <c r="A139" s="90" t="s">
        <v>45</v>
      </c>
      <c r="B139" s="92" t="s">
        <v>10</v>
      </c>
      <c r="C139" s="92">
        <v>6800068102</v>
      </c>
      <c r="D139" s="93" t="s">
        <v>247</v>
      </c>
      <c r="E139" s="92"/>
      <c r="F139" s="92">
        <v>2</v>
      </c>
      <c r="G139" s="92" t="s">
        <v>245</v>
      </c>
      <c r="H139" s="10"/>
      <c r="I139" s="10"/>
    </row>
    <row r="140" spans="1:9" ht="36" customHeight="1" x14ac:dyDescent="0.25">
      <c r="A140" s="90" t="s">
        <v>45</v>
      </c>
      <c r="B140" s="26"/>
      <c r="C140" s="10">
        <v>2100021036</v>
      </c>
      <c r="D140" s="11" t="s">
        <v>213</v>
      </c>
      <c r="E140" s="10">
        <v>7</v>
      </c>
      <c r="F140" s="10">
        <f>E140*$F$139</f>
        <v>14</v>
      </c>
      <c r="G140" s="10" t="s">
        <v>84</v>
      </c>
      <c r="H140" s="10"/>
      <c r="I140" s="10"/>
    </row>
    <row r="141" spans="1:9" ht="36" customHeight="1" x14ac:dyDescent="0.25">
      <c r="A141" s="90" t="s">
        <v>45</v>
      </c>
      <c r="B141" s="26"/>
      <c r="C141" s="10">
        <v>2100021767</v>
      </c>
      <c r="D141" s="11" t="s">
        <v>168</v>
      </c>
      <c r="E141" s="10">
        <v>7</v>
      </c>
      <c r="F141" s="10">
        <f>E141*$F$139</f>
        <v>14</v>
      </c>
      <c r="G141" s="10" t="s">
        <v>84</v>
      </c>
      <c r="H141" s="10"/>
      <c r="I141" s="10"/>
    </row>
    <row r="142" spans="1:9" ht="36" customHeight="1" x14ac:dyDescent="0.25">
      <c r="A142" s="90" t="s">
        <v>45</v>
      </c>
      <c r="B142" s="26"/>
      <c r="C142" s="10">
        <v>2200022849</v>
      </c>
      <c r="D142" s="11" t="s">
        <v>211</v>
      </c>
      <c r="E142" s="10">
        <v>7</v>
      </c>
      <c r="F142" s="10">
        <f>E142*$F$139</f>
        <v>14</v>
      </c>
      <c r="G142" s="10" t="s">
        <v>84</v>
      </c>
      <c r="H142" s="10"/>
      <c r="I142" s="10"/>
    </row>
    <row r="143" spans="1:9" ht="36" customHeight="1" x14ac:dyDescent="0.25">
      <c r="A143" s="90" t="s">
        <v>45</v>
      </c>
      <c r="B143" s="26"/>
      <c r="C143" s="10">
        <v>2200022406</v>
      </c>
      <c r="D143" s="11" t="s">
        <v>222</v>
      </c>
      <c r="E143" s="10">
        <v>1</v>
      </c>
      <c r="F143" s="10">
        <f>E143*$F$139</f>
        <v>2</v>
      </c>
      <c r="G143" s="10" t="s">
        <v>84</v>
      </c>
      <c r="H143" s="10"/>
      <c r="I143" s="10"/>
    </row>
    <row r="144" spans="1:9" s="28" customFormat="1" ht="36" customHeight="1" x14ac:dyDescent="0.25">
      <c r="A144" s="90" t="s">
        <v>32</v>
      </c>
      <c r="B144" s="92" t="s">
        <v>10</v>
      </c>
      <c r="C144" s="92">
        <v>4600046761</v>
      </c>
      <c r="D144" s="93" t="s">
        <v>745</v>
      </c>
      <c r="E144" s="92"/>
      <c r="F144" s="92">
        <v>3</v>
      </c>
      <c r="G144" s="92" t="s">
        <v>225</v>
      </c>
      <c r="H144" s="227"/>
      <c r="I144" s="10"/>
    </row>
    <row r="145" spans="1:9" s="28" customFormat="1" ht="36" customHeight="1" x14ac:dyDescent="0.25">
      <c r="A145" s="90" t="s">
        <v>32</v>
      </c>
      <c r="B145" s="26"/>
      <c r="C145" s="10">
        <v>2000121921</v>
      </c>
      <c r="D145" s="11" t="s">
        <v>746</v>
      </c>
      <c r="E145" s="10">
        <v>12</v>
      </c>
      <c r="F145" s="10">
        <f>E145*$F$144</f>
        <v>36</v>
      </c>
      <c r="G145" s="10" t="s">
        <v>14</v>
      </c>
      <c r="H145" s="227"/>
      <c r="I145" s="10"/>
    </row>
    <row r="146" spans="1:9" s="28" customFormat="1" ht="36" customHeight="1" x14ac:dyDescent="0.25">
      <c r="A146" s="90" t="s">
        <v>32</v>
      </c>
      <c r="B146" s="26"/>
      <c r="C146" s="10">
        <v>2200022812</v>
      </c>
      <c r="D146" s="11" t="s">
        <v>202</v>
      </c>
      <c r="E146" s="10">
        <v>12</v>
      </c>
      <c r="F146" s="10">
        <f>E146*$F$144</f>
        <v>36</v>
      </c>
      <c r="G146" s="10" t="s">
        <v>14</v>
      </c>
      <c r="H146" s="227"/>
      <c r="I146" s="10"/>
    </row>
    <row r="147" spans="1:9" s="28" customFormat="1" ht="36" customHeight="1" x14ac:dyDescent="0.25">
      <c r="A147" s="90" t="s">
        <v>32</v>
      </c>
      <c r="B147" s="26"/>
      <c r="C147" s="10">
        <v>2000020144</v>
      </c>
      <c r="D147" s="11" t="s">
        <v>173</v>
      </c>
      <c r="E147" s="10">
        <v>12</v>
      </c>
      <c r="F147" s="10">
        <f>E147*$F$144</f>
        <v>36</v>
      </c>
      <c r="G147" s="10" t="s">
        <v>14</v>
      </c>
      <c r="H147" s="227"/>
      <c r="I147" s="10"/>
    </row>
    <row r="148" spans="1:9" s="28" customFormat="1" ht="36" customHeight="1" x14ac:dyDescent="0.25">
      <c r="A148" s="90" t="s">
        <v>57</v>
      </c>
      <c r="B148" s="92" t="s">
        <v>10</v>
      </c>
      <c r="C148" s="92">
        <v>7800078275</v>
      </c>
      <c r="D148" s="93" t="s">
        <v>748</v>
      </c>
      <c r="E148" s="92"/>
      <c r="F148" s="92">
        <v>33</v>
      </c>
      <c r="G148" s="92" t="s">
        <v>26</v>
      </c>
      <c r="H148" s="26"/>
      <c r="I148" s="26"/>
    </row>
    <row r="149" spans="1:9" s="28" customFormat="1" ht="36" customHeight="1" x14ac:dyDescent="0.25">
      <c r="A149" s="90" t="s">
        <v>57</v>
      </c>
      <c r="B149" s="26"/>
      <c r="C149" s="10">
        <v>2100021771</v>
      </c>
      <c r="D149" s="11" t="s">
        <v>747</v>
      </c>
      <c r="E149" s="10">
        <v>1</v>
      </c>
      <c r="F149" s="10">
        <f>E149*$F$148</f>
        <v>33</v>
      </c>
      <c r="G149" s="10" t="s">
        <v>84</v>
      </c>
      <c r="H149" s="26"/>
      <c r="I149" s="26"/>
    </row>
    <row r="150" spans="1:9" s="28" customFormat="1" ht="36" customHeight="1" x14ac:dyDescent="0.25">
      <c r="A150" s="90" t="s">
        <v>57</v>
      </c>
      <c r="B150" s="26"/>
      <c r="C150" s="10">
        <v>2100021982</v>
      </c>
      <c r="D150" s="11" t="s">
        <v>165</v>
      </c>
      <c r="E150" s="10">
        <v>1</v>
      </c>
      <c r="F150" s="10">
        <f>E150*$F$148</f>
        <v>33</v>
      </c>
      <c r="G150" s="10" t="s">
        <v>84</v>
      </c>
      <c r="H150" s="26"/>
      <c r="I150" s="26"/>
    </row>
    <row r="151" spans="1:9" s="28" customFormat="1" ht="36" customHeight="1" x14ac:dyDescent="0.25">
      <c r="A151" s="90" t="s">
        <v>57</v>
      </c>
      <c r="B151" s="26"/>
      <c r="C151" s="10">
        <v>2400024019</v>
      </c>
      <c r="D151" s="11" t="s">
        <v>171</v>
      </c>
      <c r="E151" s="10">
        <v>1</v>
      </c>
      <c r="F151" s="10">
        <f>E151*$F$148</f>
        <v>33</v>
      </c>
      <c r="G151" s="10" t="s">
        <v>84</v>
      </c>
      <c r="H151" s="26"/>
      <c r="I151" s="26"/>
    </row>
    <row r="152" spans="1:9" s="28" customFormat="1" ht="36" customHeight="1" x14ac:dyDescent="0.25">
      <c r="A152" s="90" t="s">
        <v>57</v>
      </c>
      <c r="B152" s="26"/>
      <c r="C152" s="10">
        <v>2000020523</v>
      </c>
      <c r="D152" s="11" t="s">
        <v>533</v>
      </c>
      <c r="E152" s="10">
        <v>1</v>
      </c>
      <c r="F152" s="10">
        <f>E152*$F$148</f>
        <v>33</v>
      </c>
      <c r="G152" s="10" t="s">
        <v>84</v>
      </c>
      <c r="H152" s="26"/>
      <c r="I152" s="26"/>
    </row>
    <row r="153" spans="1:9" s="28" customFormat="1" ht="36" customHeight="1" x14ac:dyDescent="0.25">
      <c r="A153" s="90" t="s">
        <v>57</v>
      </c>
      <c r="B153" s="92" t="s">
        <v>10</v>
      </c>
      <c r="C153" s="92">
        <v>7900080277</v>
      </c>
      <c r="D153" s="93" t="s">
        <v>749</v>
      </c>
      <c r="E153" s="92"/>
      <c r="F153" s="92">
        <v>1</v>
      </c>
      <c r="G153" s="92" t="s">
        <v>26</v>
      </c>
      <c r="H153" s="26"/>
      <c r="I153" s="26"/>
    </row>
    <row r="154" spans="1:9" s="28" customFormat="1" ht="36" customHeight="1" x14ac:dyDescent="0.25">
      <c r="A154" s="90" t="s">
        <v>57</v>
      </c>
      <c r="B154" s="26"/>
      <c r="C154" s="10">
        <v>2000020915</v>
      </c>
      <c r="D154" s="11" t="s">
        <v>175</v>
      </c>
      <c r="E154" s="10">
        <v>1</v>
      </c>
      <c r="F154" s="10">
        <f>E154*$F$153</f>
        <v>1</v>
      </c>
      <c r="G154" s="10" t="s">
        <v>84</v>
      </c>
      <c r="H154" s="26"/>
      <c r="I154" s="26"/>
    </row>
    <row r="155" spans="1:9" s="28" customFormat="1" ht="36" customHeight="1" x14ac:dyDescent="0.25">
      <c r="A155" s="90" t="s">
        <v>57</v>
      </c>
      <c r="B155" s="26"/>
      <c r="C155" s="10">
        <v>2400024019</v>
      </c>
      <c r="D155" s="11" t="s">
        <v>171</v>
      </c>
      <c r="E155" s="10">
        <v>1</v>
      </c>
      <c r="F155" s="10">
        <f t="shared" ref="F155:F157" si="7">E155*$F$153</f>
        <v>1</v>
      </c>
      <c r="G155" s="10" t="s">
        <v>84</v>
      </c>
      <c r="H155" s="26"/>
      <c r="I155" s="26"/>
    </row>
    <row r="156" spans="1:9" s="28" customFormat="1" ht="36" customHeight="1" x14ac:dyDescent="0.25">
      <c r="A156" s="90" t="s">
        <v>57</v>
      </c>
      <c r="B156" s="26"/>
      <c r="C156" s="10">
        <v>2100021846</v>
      </c>
      <c r="D156" s="11" t="s">
        <v>201</v>
      </c>
      <c r="E156" s="10">
        <v>1</v>
      </c>
      <c r="F156" s="10">
        <f t="shared" si="7"/>
        <v>1</v>
      </c>
      <c r="G156" s="10" t="s">
        <v>84</v>
      </c>
      <c r="H156" s="26"/>
      <c r="I156" s="26"/>
    </row>
    <row r="157" spans="1:9" ht="36" customHeight="1" x14ac:dyDescent="0.25">
      <c r="A157" s="90" t="s">
        <v>57</v>
      </c>
      <c r="B157" s="26"/>
      <c r="C157" s="10">
        <v>2100021168</v>
      </c>
      <c r="D157" s="11" t="s">
        <v>303</v>
      </c>
      <c r="E157" s="10">
        <v>2</v>
      </c>
      <c r="F157" s="10">
        <f t="shared" si="7"/>
        <v>2</v>
      </c>
      <c r="G157" s="10" t="s">
        <v>84</v>
      </c>
      <c r="H157" s="26"/>
      <c r="I157" s="26"/>
    </row>
    <row r="158" spans="1:9" ht="36" customHeight="1" x14ac:dyDescent="0.25">
      <c r="A158" s="90" t="s">
        <v>57</v>
      </c>
      <c r="B158" s="92" t="s">
        <v>10</v>
      </c>
      <c r="C158" s="92">
        <v>7700077547</v>
      </c>
      <c r="D158" s="93" t="s">
        <v>750</v>
      </c>
      <c r="E158" s="94"/>
      <c r="F158" s="92">
        <v>15</v>
      </c>
      <c r="G158" s="92" t="s">
        <v>225</v>
      </c>
      <c r="H158" s="26"/>
      <c r="I158" s="26"/>
    </row>
    <row r="159" spans="1:9" ht="36" customHeight="1" x14ac:dyDescent="0.25">
      <c r="A159" s="90" t="s">
        <v>57</v>
      </c>
      <c r="B159" s="26"/>
      <c r="C159" s="10">
        <v>2100021878</v>
      </c>
      <c r="D159" s="11" t="s">
        <v>176</v>
      </c>
      <c r="E159" s="10">
        <v>1</v>
      </c>
      <c r="F159" s="10">
        <f>E159*$F$158</f>
        <v>15</v>
      </c>
      <c r="G159" s="10" t="s">
        <v>84</v>
      </c>
      <c r="H159" s="26"/>
      <c r="I159" s="26"/>
    </row>
    <row r="160" spans="1:9" ht="36" customHeight="1" x14ac:dyDescent="0.25">
      <c r="A160" s="90" t="s">
        <v>57</v>
      </c>
      <c r="B160" s="26"/>
      <c r="C160" s="10">
        <v>2000020523</v>
      </c>
      <c r="D160" s="42" t="s">
        <v>533</v>
      </c>
      <c r="E160" s="10">
        <v>1</v>
      </c>
      <c r="F160" s="10">
        <f>E160*$F$158</f>
        <v>15</v>
      </c>
      <c r="G160" s="10" t="s">
        <v>84</v>
      </c>
      <c r="H160" s="26"/>
      <c r="I160" s="26"/>
    </row>
    <row r="161" spans="1:9" ht="36" customHeight="1" x14ac:dyDescent="0.25">
      <c r="A161" s="90" t="s">
        <v>57</v>
      </c>
      <c r="B161" s="26"/>
      <c r="C161" s="10">
        <v>2800028519</v>
      </c>
      <c r="D161" s="11" t="s">
        <v>178</v>
      </c>
      <c r="E161" s="10">
        <v>1</v>
      </c>
      <c r="F161" s="10">
        <f>E161*$F$158</f>
        <v>15</v>
      </c>
      <c r="G161" s="10" t="s">
        <v>84</v>
      </c>
      <c r="H161" s="26"/>
      <c r="I161" s="26"/>
    </row>
    <row r="162" spans="1:9" ht="36" customHeight="1" x14ac:dyDescent="0.25">
      <c r="A162" s="90" t="s">
        <v>57</v>
      </c>
      <c r="B162" s="26"/>
      <c r="C162" s="10">
        <v>2800028520</v>
      </c>
      <c r="D162" s="42" t="s">
        <v>204</v>
      </c>
      <c r="E162" s="10">
        <v>1</v>
      </c>
      <c r="F162" s="10">
        <f>E162*$F$158</f>
        <v>15</v>
      </c>
      <c r="G162" s="10" t="s">
        <v>84</v>
      </c>
      <c r="H162" s="26"/>
      <c r="I162" s="26"/>
    </row>
    <row r="163" spans="1:9" ht="36" customHeight="1" x14ac:dyDescent="0.25">
      <c r="A163" s="90" t="s">
        <v>50</v>
      </c>
      <c r="B163" s="92" t="s">
        <v>10</v>
      </c>
      <c r="C163" s="92">
        <v>4800048071</v>
      </c>
      <c r="D163" s="93" t="s">
        <v>206</v>
      </c>
      <c r="E163" s="92"/>
      <c r="F163" s="92">
        <v>0</v>
      </c>
      <c r="G163" s="92" t="s">
        <v>225</v>
      </c>
      <c r="H163" s="10"/>
      <c r="I163" s="10"/>
    </row>
    <row r="164" spans="1:9" ht="36" customHeight="1" x14ac:dyDescent="0.25">
      <c r="A164" s="90" t="s">
        <v>50</v>
      </c>
      <c r="B164" s="26"/>
      <c r="C164" s="10">
        <v>2300023035</v>
      </c>
      <c r="D164" s="11" t="s">
        <v>207</v>
      </c>
      <c r="E164" s="10">
        <v>2</v>
      </c>
      <c r="F164" s="10">
        <f>E164*$F$163</f>
        <v>0</v>
      </c>
      <c r="G164" s="10" t="s">
        <v>14</v>
      </c>
      <c r="H164" s="10"/>
      <c r="I164" s="10"/>
    </row>
    <row r="165" spans="1:9" ht="36" customHeight="1" x14ac:dyDescent="0.25">
      <c r="A165" s="90" t="s">
        <v>50</v>
      </c>
      <c r="B165" s="26"/>
      <c r="C165" s="10">
        <v>2300023751</v>
      </c>
      <c r="D165" s="11" t="s">
        <v>166</v>
      </c>
      <c r="E165" s="10">
        <v>3</v>
      </c>
      <c r="F165" s="10">
        <f>E165*$F$163</f>
        <v>0</v>
      </c>
      <c r="G165" s="10" t="s">
        <v>14</v>
      </c>
      <c r="H165" s="10"/>
      <c r="I165" s="10"/>
    </row>
    <row r="166" spans="1:9" s="28" customFormat="1" ht="36" customHeight="1" x14ac:dyDescent="0.25">
      <c r="A166" s="90" t="s">
        <v>50</v>
      </c>
      <c r="B166" s="26"/>
      <c r="C166" s="10">
        <v>2100021815</v>
      </c>
      <c r="D166" s="11" t="s">
        <v>208</v>
      </c>
      <c r="E166" s="10">
        <v>3</v>
      </c>
      <c r="F166" s="10">
        <f>E166*$F$163</f>
        <v>0</v>
      </c>
      <c r="G166" s="10" t="s">
        <v>14</v>
      </c>
      <c r="H166" s="10"/>
      <c r="I166" s="10"/>
    </row>
    <row r="167" spans="1:9" s="28" customFormat="1" ht="36" customHeight="1" x14ac:dyDescent="0.25">
      <c r="A167" s="90" t="s">
        <v>50</v>
      </c>
      <c r="B167" s="26"/>
      <c r="C167" s="10">
        <v>2100021770</v>
      </c>
      <c r="D167" s="11" t="s">
        <v>209</v>
      </c>
      <c r="E167" s="10">
        <v>2</v>
      </c>
      <c r="F167" s="10">
        <f>E167*$F$163</f>
        <v>0</v>
      </c>
      <c r="G167" s="10" t="s">
        <v>14</v>
      </c>
      <c r="H167" s="10"/>
      <c r="I167" s="10"/>
    </row>
    <row r="168" spans="1:9" ht="36" customHeight="1" x14ac:dyDescent="0.25">
      <c r="A168" s="90" t="s">
        <v>50</v>
      </c>
      <c r="B168" s="92" t="s">
        <v>10</v>
      </c>
      <c r="C168" s="92">
        <v>4800048043</v>
      </c>
      <c r="D168" s="93" t="s">
        <v>210</v>
      </c>
      <c r="E168" s="92"/>
      <c r="F168" s="92">
        <v>0</v>
      </c>
      <c r="G168" s="92" t="s">
        <v>225</v>
      </c>
      <c r="H168" s="10"/>
      <c r="I168" s="10"/>
    </row>
    <row r="169" spans="1:9" s="28" customFormat="1" ht="36" customHeight="1" x14ac:dyDescent="0.25">
      <c r="A169" s="90" t="s">
        <v>50</v>
      </c>
      <c r="B169" s="26"/>
      <c r="C169" s="10">
        <v>2200022849</v>
      </c>
      <c r="D169" s="11" t="s">
        <v>211</v>
      </c>
      <c r="E169" s="10">
        <v>4</v>
      </c>
      <c r="F169" s="10">
        <f>E169*$F$168</f>
        <v>0</v>
      </c>
      <c r="G169" s="10" t="s">
        <v>14</v>
      </c>
      <c r="H169" s="10"/>
      <c r="I169" s="10"/>
    </row>
    <row r="170" spans="1:9" ht="36" customHeight="1" x14ac:dyDescent="0.25">
      <c r="A170" s="90" t="s">
        <v>50</v>
      </c>
      <c r="B170" s="26"/>
      <c r="C170" s="10">
        <v>2000020915</v>
      </c>
      <c r="D170" s="37" t="s">
        <v>175</v>
      </c>
      <c r="E170" s="38">
        <v>4</v>
      </c>
      <c r="F170" s="10">
        <f>E170*$F$168</f>
        <v>0</v>
      </c>
      <c r="G170" s="10" t="s">
        <v>14</v>
      </c>
      <c r="H170" s="26"/>
      <c r="I170" s="26"/>
    </row>
    <row r="171" spans="1:9" s="28" customFormat="1" ht="36" customHeight="1" x14ac:dyDescent="0.25">
      <c r="A171" s="90" t="s">
        <v>50</v>
      </c>
      <c r="B171" s="92" t="s">
        <v>10</v>
      </c>
      <c r="C171" s="92">
        <v>4800048103</v>
      </c>
      <c r="D171" s="101" t="s">
        <v>212</v>
      </c>
      <c r="E171" s="102"/>
      <c r="F171" s="92">
        <v>0</v>
      </c>
      <c r="G171" s="92" t="s">
        <v>225</v>
      </c>
      <c r="H171" s="26"/>
      <c r="I171" s="26"/>
    </row>
    <row r="172" spans="1:9" ht="36" customHeight="1" x14ac:dyDescent="0.25">
      <c r="A172" s="90" t="s">
        <v>50</v>
      </c>
      <c r="B172" s="26"/>
      <c r="C172" s="10">
        <v>2100021036</v>
      </c>
      <c r="D172" s="37" t="s">
        <v>213</v>
      </c>
      <c r="E172" s="38">
        <v>4</v>
      </c>
      <c r="F172" s="10">
        <f>E172*$F$171</f>
        <v>0</v>
      </c>
      <c r="G172" s="10" t="s">
        <v>14</v>
      </c>
      <c r="H172" s="10"/>
      <c r="I172" s="10"/>
    </row>
    <row r="173" spans="1:9" ht="36" customHeight="1" x14ac:dyDescent="0.25">
      <c r="A173" s="90" t="s">
        <v>50</v>
      </c>
      <c r="B173" s="26"/>
      <c r="C173" s="10">
        <v>2400024019</v>
      </c>
      <c r="D173" s="11" t="s">
        <v>171</v>
      </c>
      <c r="E173" s="10">
        <v>4</v>
      </c>
      <c r="F173" s="10">
        <f>E173*$F$171</f>
        <v>0</v>
      </c>
      <c r="G173" s="10" t="s">
        <v>14</v>
      </c>
      <c r="H173" s="26"/>
      <c r="I173" s="26"/>
    </row>
    <row r="174" spans="1:9" ht="36" customHeight="1" x14ac:dyDescent="0.25">
      <c r="A174" s="90" t="s">
        <v>46</v>
      </c>
      <c r="B174" s="92" t="s">
        <v>10</v>
      </c>
      <c r="C174" s="92">
        <v>4800048428</v>
      </c>
      <c r="D174" s="93" t="s">
        <v>214</v>
      </c>
      <c r="E174" s="92"/>
      <c r="F174" s="92">
        <v>14</v>
      </c>
      <c r="G174" s="92" t="s">
        <v>225</v>
      </c>
      <c r="H174" s="10"/>
      <c r="I174" s="10"/>
    </row>
    <row r="175" spans="1:9" s="28" customFormat="1" ht="36" customHeight="1" x14ac:dyDescent="0.25">
      <c r="A175" s="90" t="s">
        <v>46</v>
      </c>
      <c r="B175" s="26"/>
      <c r="C175" s="10">
        <v>2100021882</v>
      </c>
      <c r="D175" s="11" t="s">
        <v>169</v>
      </c>
      <c r="E175" s="10">
        <v>1</v>
      </c>
      <c r="F175" s="10">
        <f>E175*$F$174</f>
        <v>14</v>
      </c>
      <c r="G175" s="10" t="s">
        <v>14</v>
      </c>
      <c r="H175" s="26"/>
      <c r="I175" s="26"/>
    </row>
    <row r="176" spans="1:9" s="28" customFormat="1" ht="36" customHeight="1" x14ac:dyDescent="0.25">
      <c r="A176" s="90" t="s">
        <v>46</v>
      </c>
      <c r="B176" s="26"/>
      <c r="C176" s="10">
        <v>2100021744</v>
      </c>
      <c r="D176" s="11" t="s">
        <v>215</v>
      </c>
      <c r="E176" s="10">
        <v>1</v>
      </c>
      <c r="F176" s="10">
        <f>E176*$F$174</f>
        <v>14</v>
      </c>
      <c r="G176" s="10" t="s">
        <v>14</v>
      </c>
      <c r="H176" s="10"/>
      <c r="I176" s="10"/>
    </row>
    <row r="177" spans="1:9" s="28" customFormat="1" ht="36" customHeight="1" x14ac:dyDescent="0.25">
      <c r="A177" s="90" t="s">
        <v>46</v>
      </c>
      <c r="B177" s="26"/>
      <c r="C177" s="10">
        <v>2100021815</v>
      </c>
      <c r="D177" s="11" t="s">
        <v>208</v>
      </c>
      <c r="E177" s="10">
        <v>1</v>
      </c>
      <c r="F177" s="10">
        <f>E177*$F$174</f>
        <v>14</v>
      </c>
      <c r="G177" s="10" t="s">
        <v>14</v>
      </c>
      <c r="H177" s="10"/>
      <c r="I177" s="10"/>
    </row>
    <row r="178" spans="1:9" s="28" customFormat="1" ht="36" customHeight="1" x14ac:dyDescent="0.25">
      <c r="A178" s="90" t="s">
        <v>46</v>
      </c>
      <c r="B178" s="26"/>
      <c r="C178" s="10">
        <v>2000020144</v>
      </c>
      <c r="D178" s="11" t="s">
        <v>173</v>
      </c>
      <c r="E178" s="10">
        <v>1</v>
      </c>
      <c r="F178" s="10">
        <f>E178*$F$174</f>
        <v>14</v>
      </c>
      <c r="G178" s="10" t="s">
        <v>14</v>
      </c>
      <c r="H178" s="10"/>
      <c r="I178" s="10"/>
    </row>
    <row r="179" spans="1:9" s="28" customFormat="1" ht="36" customHeight="1" x14ac:dyDescent="0.25">
      <c r="A179" s="90" t="s">
        <v>46</v>
      </c>
      <c r="B179" s="92" t="s">
        <v>10</v>
      </c>
      <c r="C179" s="92">
        <v>4100041070</v>
      </c>
      <c r="D179" s="93" t="s">
        <v>216</v>
      </c>
      <c r="E179" s="92"/>
      <c r="F179" s="92">
        <v>28</v>
      </c>
      <c r="G179" s="92" t="s">
        <v>225</v>
      </c>
      <c r="H179" s="247" t="s">
        <v>652</v>
      </c>
      <c r="I179" s="10"/>
    </row>
    <row r="180" spans="1:9" ht="36" customHeight="1" x14ac:dyDescent="0.25">
      <c r="A180" s="90" t="s">
        <v>46</v>
      </c>
      <c r="B180" s="26"/>
      <c r="C180" s="10">
        <v>2400024019</v>
      </c>
      <c r="D180" s="11" t="s">
        <v>171</v>
      </c>
      <c r="E180" s="10">
        <v>1</v>
      </c>
      <c r="F180" s="10">
        <f>E180*$F$170</f>
        <v>0</v>
      </c>
      <c r="G180" s="10" t="s">
        <v>14</v>
      </c>
      <c r="H180" s="248"/>
      <c r="I180" s="10"/>
    </row>
    <row r="181" spans="1:9" ht="36" customHeight="1" x14ac:dyDescent="0.25">
      <c r="A181" s="90" t="s">
        <v>46</v>
      </c>
      <c r="B181" s="26"/>
      <c r="C181" s="10">
        <v>2000020915</v>
      </c>
      <c r="D181" s="11" t="s">
        <v>175</v>
      </c>
      <c r="E181" s="10">
        <v>1</v>
      </c>
      <c r="F181" s="10">
        <f>E181*$F$170</f>
        <v>0</v>
      </c>
      <c r="G181" s="10" t="s">
        <v>14</v>
      </c>
      <c r="H181" s="248"/>
      <c r="I181" s="10"/>
    </row>
    <row r="182" spans="1:9" s="28" customFormat="1" ht="36" customHeight="1" x14ac:dyDescent="0.25">
      <c r="A182" s="90" t="s">
        <v>46</v>
      </c>
      <c r="B182" s="26"/>
      <c r="C182" s="10">
        <v>2100021988</v>
      </c>
      <c r="D182" s="11" t="s">
        <v>162</v>
      </c>
      <c r="E182" s="10">
        <v>1</v>
      </c>
      <c r="F182" s="10">
        <f>E182*$F$170</f>
        <v>0</v>
      </c>
      <c r="G182" s="10" t="s">
        <v>14</v>
      </c>
      <c r="H182" s="248"/>
      <c r="I182" s="10"/>
    </row>
    <row r="183" spans="1:9" ht="36" customHeight="1" x14ac:dyDescent="0.25">
      <c r="A183" s="90" t="s">
        <v>46</v>
      </c>
      <c r="B183" s="26"/>
      <c r="C183" s="10">
        <v>2000020523</v>
      </c>
      <c r="D183" s="11" t="s">
        <v>174</v>
      </c>
      <c r="E183" s="10">
        <v>1</v>
      </c>
      <c r="F183" s="10">
        <f>E183*$F$170</f>
        <v>0</v>
      </c>
      <c r="G183" s="10" t="s">
        <v>14</v>
      </c>
      <c r="H183" s="248"/>
      <c r="I183" s="26"/>
    </row>
    <row r="184" spans="1:9" ht="36" customHeight="1" x14ac:dyDescent="0.25">
      <c r="A184" s="90" t="s">
        <v>46</v>
      </c>
      <c r="B184" s="92" t="s">
        <v>10</v>
      </c>
      <c r="C184" s="92">
        <v>4100041024</v>
      </c>
      <c r="D184" s="93" t="s">
        <v>284</v>
      </c>
      <c r="E184" s="92"/>
      <c r="F184" s="92">
        <v>3</v>
      </c>
      <c r="G184" s="92" t="s">
        <v>225</v>
      </c>
      <c r="H184" s="248"/>
      <c r="I184" s="10"/>
    </row>
    <row r="185" spans="1:9" ht="36" customHeight="1" x14ac:dyDescent="0.25">
      <c r="A185" s="90" t="s">
        <v>46</v>
      </c>
      <c r="B185" s="26"/>
      <c r="C185" s="10">
        <v>2100021885</v>
      </c>
      <c r="D185" s="11" t="s">
        <v>360</v>
      </c>
      <c r="E185" s="10">
        <v>8</v>
      </c>
      <c r="F185" s="10">
        <f>E185*$F$175</f>
        <v>112</v>
      </c>
      <c r="G185" s="10" t="s">
        <v>14</v>
      </c>
      <c r="H185" s="248"/>
      <c r="I185" s="10"/>
    </row>
    <row r="186" spans="1:9" ht="36" customHeight="1" x14ac:dyDescent="0.25">
      <c r="A186" s="90" t="s">
        <v>46</v>
      </c>
      <c r="B186" s="26"/>
      <c r="C186" s="10">
        <v>2100021813</v>
      </c>
      <c r="D186" s="11" t="s">
        <v>217</v>
      </c>
      <c r="E186" s="10">
        <v>8</v>
      </c>
      <c r="F186" s="10">
        <f>E186*$F$175</f>
        <v>112</v>
      </c>
      <c r="G186" s="10" t="s">
        <v>14</v>
      </c>
      <c r="H186" s="248"/>
      <c r="I186" s="10"/>
    </row>
    <row r="187" spans="1:9" s="28" customFormat="1" ht="36" customHeight="1" x14ac:dyDescent="0.25">
      <c r="A187" s="90" t="s">
        <v>46</v>
      </c>
      <c r="B187" s="26"/>
      <c r="C187" s="10">
        <v>2200022466</v>
      </c>
      <c r="D187" s="11" t="s">
        <v>163</v>
      </c>
      <c r="E187" s="10">
        <v>8</v>
      </c>
      <c r="F187" s="10">
        <f>E187*$F$175</f>
        <v>112</v>
      </c>
      <c r="G187" s="10" t="s">
        <v>14</v>
      </c>
      <c r="H187" s="248"/>
      <c r="I187" s="26"/>
    </row>
    <row r="188" spans="1:9" ht="36" customHeight="1" x14ac:dyDescent="0.25">
      <c r="A188" s="90" t="s">
        <v>46</v>
      </c>
      <c r="B188" s="26"/>
      <c r="C188" s="10">
        <v>2200022070</v>
      </c>
      <c r="D188" s="11" t="s">
        <v>218</v>
      </c>
      <c r="E188" s="10">
        <v>8</v>
      </c>
      <c r="F188" s="10">
        <f>E188*$F$175</f>
        <v>112</v>
      </c>
      <c r="G188" s="10" t="s">
        <v>14</v>
      </c>
      <c r="H188" s="248"/>
      <c r="I188" s="10"/>
    </row>
    <row r="189" spans="1:9" ht="36" customHeight="1" x14ac:dyDescent="0.25">
      <c r="A189" s="90" t="s">
        <v>46</v>
      </c>
      <c r="B189" s="26"/>
      <c r="C189" s="10">
        <v>2200022854</v>
      </c>
      <c r="D189" s="11" t="s">
        <v>203</v>
      </c>
      <c r="E189" s="10">
        <v>8</v>
      </c>
      <c r="F189" s="10">
        <f>E189*$F$175</f>
        <v>112</v>
      </c>
      <c r="G189" s="10" t="s">
        <v>14</v>
      </c>
      <c r="H189" s="249"/>
      <c r="I189" s="26"/>
    </row>
    <row r="190" spans="1:9" s="28" customFormat="1" ht="36" customHeight="1" x14ac:dyDescent="0.25">
      <c r="A190" s="90" t="s">
        <v>46</v>
      </c>
      <c r="B190" s="92" t="s">
        <v>10</v>
      </c>
      <c r="C190" s="93">
        <v>4900091792</v>
      </c>
      <c r="D190" s="93" t="s">
        <v>751</v>
      </c>
      <c r="E190" s="93"/>
      <c r="F190" s="92">
        <v>28</v>
      </c>
      <c r="G190" s="92" t="s">
        <v>225</v>
      </c>
      <c r="H190" s="253" t="s">
        <v>693</v>
      </c>
      <c r="I190" s="26"/>
    </row>
    <row r="191" spans="1:9" ht="36" customHeight="1" x14ac:dyDescent="0.25">
      <c r="A191" s="90" t="s">
        <v>46</v>
      </c>
      <c r="B191" s="26"/>
      <c r="C191" s="10">
        <v>2100021744</v>
      </c>
      <c r="D191" s="11" t="s">
        <v>215</v>
      </c>
      <c r="E191" s="10">
        <v>1</v>
      </c>
      <c r="F191" s="10">
        <f>E191*$F$190</f>
        <v>28</v>
      </c>
      <c r="G191" s="10" t="s">
        <v>14</v>
      </c>
      <c r="H191" s="254"/>
      <c r="I191" s="26"/>
    </row>
    <row r="192" spans="1:9" ht="36" customHeight="1" x14ac:dyDescent="0.25">
      <c r="A192" s="90" t="s">
        <v>46</v>
      </c>
      <c r="B192" s="26"/>
      <c r="C192" s="10">
        <v>2100021815</v>
      </c>
      <c r="D192" s="11" t="s">
        <v>208</v>
      </c>
      <c r="E192" s="10">
        <v>1</v>
      </c>
      <c r="F192" s="10">
        <f t="shared" ref="F192:F194" si="8">E192*$F$190</f>
        <v>28</v>
      </c>
      <c r="G192" s="10" t="s">
        <v>14</v>
      </c>
      <c r="H192" s="254"/>
      <c r="I192" s="26"/>
    </row>
    <row r="193" spans="1:17" s="28" customFormat="1" ht="36" customHeight="1" x14ac:dyDescent="0.25">
      <c r="A193" s="90" t="s">
        <v>46</v>
      </c>
      <c r="B193" s="26"/>
      <c r="C193" s="10">
        <v>2000020144</v>
      </c>
      <c r="D193" s="11" t="s">
        <v>173</v>
      </c>
      <c r="E193" s="10">
        <v>2</v>
      </c>
      <c r="F193" s="10">
        <f t="shared" si="8"/>
        <v>56</v>
      </c>
      <c r="G193" s="10" t="s">
        <v>14</v>
      </c>
      <c r="H193" s="254"/>
      <c r="I193" s="26"/>
    </row>
    <row r="194" spans="1:17" ht="36" customHeight="1" x14ac:dyDescent="0.25">
      <c r="A194" s="90" t="s">
        <v>46</v>
      </c>
      <c r="B194" s="26"/>
      <c r="C194" s="10">
        <v>2000020523</v>
      </c>
      <c r="D194" s="11" t="s">
        <v>533</v>
      </c>
      <c r="E194" s="10">
        <v>1</v>
      </c>
      <c r="F194" s="10">
        <f t="shared" si="8"/>
        <v>28</v>
      </c>
      <c r="G194" s="10" t="s">
        <v>14</v>
      </c>
      <c r="H194" s="255"/>
      <c r="I194" s="26"/>
    </row>
    <row r="195" spans="1:17" s="28" customFormat="1" ht="36" customHeight="1" x14ac:dyDescent="0.25">
      <c r="A195" s="90" t="s">
        <v>5</v>
      </c>
      <c r="B195" s="92" t="s">
        <v>10</v>
      </c>
      <c r="C195" s="92">
        <v>6700067465</v>
      </c>
      <c r="D195" s="93" t="s">
        <v>219</v>
      </c>
      <c r="E195" s="92"/>
      <c r="F195" s="92">
        <v>1</v>
      </c>
      <c r="G195" s="92" t="s">
        <v>225</v>
      </c>
      <c r="H195" s="10"/>
      <c r="I195" s="10"/>
    </row>
    <row r="196" spans="1:17" ht="36" customHeight="1" x14ac:dyDescent="0.25">
      <c r="A196" s="90" t="s">
        <v>5</v>
      </c>
      <c r="B196" s="26"/>
      <c r="C196" s="10">
        <v>2000020389</v>
      </c>
      <c r="D196" s="11" t="s">
        <v>220</v>
      </c>
      <c r="E196" s="10">
        <v>3</v>
      </c>
      <c r="F196" s="10">
        <f>E196*$F$195</f>
        <v>3</v>
      </c>
      <c r="G196" s="10" t="s">
        <v>14</v>
      </c>
      <c r="H196" s="10"/>
      <c r="I196" s="10"/>
    </row>
    <row r="197" spans="1:17" ht="36" customHeight="1" x14ac:dyDescent="0.25">
      <c r="A197" s="90" t="s">
        <v>5</v>
      </c>
      <c r="B197" s="26"/>
      <c r="C197" s="10">
        <v>2200022549</v>
      </c>
      <c r="D197" s="11" t="s">
        <v>205</v>
      </c>
      <c r="E197" s="10">
        <v>20</v>
      </c>
      <c r="F197" s="10">
        <f>E197*$F$195</f>
        <v>20</v>
      </c>
      <c r="G197" s="10" t="s">
        <v>14</v>
      </c>
      <c r="H197" s="26"/>
      <c r="I197" s="26"/>
    </row>
    <row r="198" spans="1:17" ht="36" customHeight="1" x14ac:dyDescent="0.25">
      <c r="A198" s="90" t="s">
        <v>48</v>
      </c>
      <c r="B198" s="92" t="s">
        <v>39</v>
      </c>
      <c r="C198" s="92">
        <v>4600042113</v>
      </c>
      <c r="D198" s="93" t="s">
        <v>531</v>
      </c>
      <c r="E198" s="94"/>
      <c r="F198" s="92">
        <v>3</v>
      </c>
      <c r="G198" s="92" t="s">
        <v>225</v>
      </c>
      <c r="H198" s="10"/>
      <c r="I198" s="237" t="s">
        <v>253</v>
      </c>
    </row>
    <row r="199" spans="1:17" ht="36" customHeight="1" x14ac:dyDescent="0.25">
      <c r="A199" s="90" t="s">
        <v>48</v>
      </c>
      <c r="B199" s="92" t="s">
        <v>39</v>
      </c>
      <c r="C199" s="92">
        <v>4600042213</v>
      </c>
      <c r="D199" s="93" t="s">
        <v>539</v>
      </c>
      <c r="E199" s="94"/>
      <c r="F199" s="92">
        <v>1</v>
      </c>
      <c r="G199" s="92" t="s">
        <v>225</v>
      </c>
      <c r="H199" s="10"/>
      <c r="I199" s="238"/>
    </row>
    <row r="200" spans="1:17" ht="36" customHeight="1" x14ac:dyDescent="0.25">
      <c r="A200" s="90" t="s">
        <v>48</v>
      </c>
      <c r="B200" s="26"/>
      <c r="C200" s="10">
        <v>2100021982</v>
      </c>
      <c r="D200" s="11" t="s">
        <v>165</v>
      </c>
      <c r="E200" s="10">
        <v>8</v>
      </c>
      <c r="F200" s="10">
        <f>SUM($F$198+$F$199)*E200</f>
        <v>32</v>
      </c>
      <c r="G200" s="10" t="s">
        <v>14</v>
      </c>
      <c r="H200" s="10"/>
      <c r="I200" s="10"/>
    </row>
    <row r="201" spans="1:17" ht="36" customHeight="1" x14ac:dyDescent="0.25">
      <c r="A201" s="90" t="s">
        <v>48</v>
      </c>
      <c r="B201" s="26"/>
      <c r="C201" s="10">
        <v>2400024019</v>
      </c>
      <c r="D201" s="11" t="s">
        <v>171</v>
      </c>
      <c r="E201" s="10">
        <v>8</v>
      </c>
      <c r="F201" s="10">
        <f t="shared" ref="F201:F206" si="9">SUM($F$198+$F$199)*E201</f>
        <v>32</v>
      </c>
      <c r="G201" s="10" t="s">
        <v>14</v>
      </c>
      <c r="H201" s="10"/>
      <c r="I201" s="10"/>
    </row>
    <row r="202" spans="1:17" ht="36" customHeight="1" x14ac:dyDescent="0.25">
      <c r="A202" s="90" t="s">
        <v>48</v>
      </c>
      <c r="B202" s="26"/>
      <c r="C202" s="10">
        <v>2100021880</v>
      </c>
      <c r="D202" s="11" t="s">
        <v>181</v>
      </c>
      <c r="E202" s="10">
        <v>7</v>
      </c>
      <c r="F202" s="10">
        <f t="shared" si="9"/>
        <v>28</v>
      </c>
      <c r="G202" s="10" t="s">
        <v>14</v>
      </c>
      <c r="H202" s="26"/>
      <c r="I202" s="26"/>
    </row>
    <row r="203" spans="1:17" ht="36" customHeight="1" x14ac:dyDescent="0.25">
      <c r="A203" s="90" t="s">
        <v>48</v>
      </c>
      <c r="B203" s="26"/>
      <c r="C203" s="10">
        <v>2100021767</v>
      </c>
      <c r="D203" s="11" t="s">
        <v>168</v>
      </c>
      <c r="E203" s="10">
        <v>7</v>
      </c>
      <c r="F203" s="10">
        <f t="shared" si="9"/>
        <v>28</v>
      </c>
      <c r="G203" s="10" t="s">
        <v>14</v>
      </c>
      <c r="H203" s="10"/>
      <c r="I203" s="10"/>
    </row>
    <row r="204" spans="1:17" ht="36" customHeight="1" x14ac:dyDescent="0.25">
      <c r="A204" s="90" t="s">
        <v>48</v>
      </c>
      <c r="B204" s="26"/>
      <c r="C204" s="10">
        <v>2000020143</v>
      </c>
      <c r="D204" s="11" t="s">
        <v>221</v>
      </c>
      <c r="E204" s="10">
        <v>0.1</v>
      </c>
      <c r="F204" s="10">
        <f t="shared" si="9"/>
        <v>0.4</v>
      </c>
      <c r="G204" s="10" t="s">
        <v>13</v>
      </c>
      <c r="H204" s="10"/>
      <c r="I204" s="10"/>
    </row>
    <row r="205" spans="1:17" ht="36" customHeight="1" x14ac:dyDescent="0.25">
      <c r="A205" s="90" t="s">
        <v>48</v>
      </c>
      <c r="B205" s="26"/>
      <c r="C205" s="10">
        <v>2100021056</v>
      </c>
      <c r="D205" s="11" t="s">
        <v>160</v>
      </c>
      <c r="E205" s="10">
        <v>5.0000000000000001E-3</v>
      </c>
      <c r="F205" s="10">
        <f t="shared" si="9"/>
        <v>0.02</v>
      </c>
      <c r="G205" s="10" t="s">
        <v>13</v>
      </c>
      <c r="H205" s="26"/>
      <c r="I205" s="26"/>
    </row>
    <row r="206" spans="1:17" ht="36" customHeight="1" x14ac:dyDescent="0.25">
      <c r="A206" s="90" t="s">
        <v>48</v>
      </c>
      <c r="B206" s="26"/>
      <c r="C206" s="10">
        <v>2200022406</v>
      </c>
      <c r="D206" s="11" t="s">
        <v>222</v>
      </c>
      <c r="E206" s="10">
        <v>1</v>
      </c>
      <c r="F206" s="10">
        <f t="shared" si="9"/>
        <v>4</v>
      </c>
      <c r="G206" s="10" t="s">
        <v>14</v>
      </c>
      <c r="H206" s="10"/>
      <c r="I206" s="10"/>
    </row>
    <row r="207" spans="1:17" ht="36" customHeight="1" x14ac:dyDescent="0.25">
      <c r="A207" s="90" t="s">
        <v>48</v>
      </c>
      <c r="B207" s="92" t="s">
        <v>10</v>
      </c>
      <c r="C207" s="92">
        <v>4600042120</v>
      </c>
      <c r="D207" s="93" t="s">
        <v>532</v>
      </c>
      <c r="E207" s="92"/>
      <c r="F207" s="92">
        <v>29</v>
      </c>
      <c r="G207" s="92" t="s">
        <v>225</v>
      </c>
      <c r="H207" s="10"/>
      <c r="I207" s="197" t="s">
        <v>253</v>
      </c>
    </row>
    <row r="208" spans="1:17" ht="36" customHeight="1" x14ac:dyDescent="0.25">
      <c r="A208" s="90" t="s">
        <v>48</v>
      </c>
      <c r="B208" s="26"/>
      <c r="C208" s="10">
        <v>2100021862</v>
      </c>
      <c r="D208" s="11" t="s">
        <v>182</v>
      </c>
      <c r="E208" s="10">
        <v>1</v>
      </c>
      <c r="F208" s="10">
        <f>E208*$F$207</f>
        <v>29</v>
      </c>
      <c r="G208" s="10" t="s">
        <v>14</v>
      </c>
      <c r="H208" s="26"/>
      <c r="I208" s="199"/>
      <c r="Q208" s="28"/>
    </row>
    <row r="209" spans="1:9" ht="36" customHeight="1" x14ac:dyDescent="0.25">
      <c r="A209" s="90" t="s">
        <v>48</v>
      </c>
      <c r="B209" s="26"/>
      <c r="C209" s="10">
        <v>2000020915</v>
      </c>
      <c r="D209" s="11" t="s">
        <v>175</v>
      </c>
      <c r="E209" s="10">
        <v>1</v>
      </c>
      <c r="F209" s="10">
        <f>E209*$F$207</f>
        <v>29</v>
      </c>
      <c r="G209" s="10" t="s">
        <v>14</v>
      </c>
      <c r="H209" s="10"/>
      <c r="I209" s="10"/>
    </row>
    <row r="210" spans="1:9" ht="36" customHeight="1" x14ac:dyDescent="0.25">
      <c r="A210" s="90" t="s">
        <v>48</v>
      </c>
      <c r="B210" s="26"/>
      <c r="C210" s="10">
        <v>2100021846</v>
      </c>
      <c r="D210" s="11" t="s">
        <v>201</v>
      </c>
      <c r="E210" s="10">
        <v>1</v>
      </c>
      <c r="F210" s="10">
        <f>E210*$F$207</f>
        <v>29</v>
      </c>
      <c r="G210" s="10" t="s">
        <v>14</v>
      </c>
      <c r="H210" s="26"/>
      <c r="I210" s="26"/>
    </row>
    <row r="211" spans="1:9" ht="36" customHeight="1" x14ac:dyDescent="0.25">
      <c r="A211" s="90" t="s">
        <v>48</v>
      </c>
      <c r="B211" s="26"/>
      <c r="C211" s="10">
        <v>2000020523</v>
      </c>
      <c r="D211" s="11" t="s">
        <v>533</v>
      </c>
      <c r="E211" s="10">
        <v>1</v>
      </c>
      <c r="F211" s="10">
        <f>E211*$F$207</f>
        <v>29</v>
      </c>
      <c r="G211" s="10" t="s">
        <v>14</v>
      </c>
      <c r="H211" s="10"/>
      <c r="I211" s="10"/>
    </row>
    <row r="212" spans="1:9" ht="36" customHeight="1" x14ac:dyDescent="0.25">
      <c r="A212" s="90" t="s">
        <v>48</v>
      </c>
      <c r="B212" s="92" t="s">
        <v>227</v>
      </c>
      <c r="C212" s="92">
        <v>4600042003</v>
      </c>
      <c r="D212" s="93" t="s">
        <v>534</v>
      </c>
      <c r="E212" s="92"/>
      <c r="F212" s="92">
        <v>37</v>
      </c>
      <c r="G212" s="92" t="s">
        <v>225</v>
      </c>
      <c r="H212" s="10"/>
      <c r="I212" s="237" t="s">
        <v>253</v>
      </c>
    </row>
    <row r="213" spans="1:9" ht="36" customHeight="1" x14ac:dyDescent="0.25">
      <c r="A213" s="90" t="s">
        <v>48</v>
      </c>
      <c r="B213" s="92" t="s">
        <v>10</v>
      </c>
      <c r="C213" s="92">
        <v>4600042212</v>
      </c>
      <c r="D213" s="93" t="s">
        <v>535</v>
      </c>
      <c r="E213" s="92"/>
      <c r="F213" s="92">
        <v>2</v>
      </c>
      <c r="G213" s="92" t="s">
        <v>225</v>
      </c>
      <c r="H213" s="10"/>
      <c r="I213" s="238"/>
    </row>
    <row r="214" spans="1:9" ht="36" customHeight="1" x14ac:dyDescent="0.25">
      <c r="A214" s="90" t="s">
        <v>48</v>
      </c>
      <c r="B214" s="92" t="s">
        <v>10</v>
      </c>
      <c r="C214" s="92">
        <v>4600047032</v>
      </c>
      <c r="D214" s="93" t="s">
        <v>536</v>
      </c>
      <c r="E214" s="92"/>
      <c r="F214" s="92">
        <v>8</v>
      </c>
      <c r="G214" s="92" t="s">
        <v>225</v>
      </c>
      <c r="H214" s="10"/>
      <c r="I214" s="239"/>
    </row>
    <row r="215" spans="1:9" x14ac:dyDescent="0.25">
      <c r="A215" s="90" t="s">
        <v>48</v>
      </c>
      <c r="B215" s="26"/>
      <c r="C215" s="10">
        <v>2100021036</v>
      </c>
      <c r="D215" s="11" t="s">
        <v>213</v>
      </c>
      <c r="E215" s="10">
        <v>1</v>
      </c>
      <c r="F215" s="10">
        <f>E215*($F$212+$F$213+$F$214)</f>
        <v>47</v>
      </c>
      <c r="G215" s="10" t="s">
        <v>14</v>
      </c>
      <c r="H215" s="10"/>
      <c r="I215" s="10"/>
    </row>
    <row r="216" spans="1:9" x14ac:dyDescent="0.25">
      <c r="A216" s="90" t="s">
        <v>48</v>
      </c>
      <c r="B216" s="26"/>
      <c r="C216" s="10">
        <v>2400024019</v>
      </c>
      <c r="D216" s="11" t="s">
        <v>171</v>
      </c>
      <c r="E216" s="10">
        <v>1</v>
      </c>
      <c r="F216" s="10">
        <f>E216*($F$212+$F$213+$F$214)</f>
        <v>47</v>
      </c>
      <c r="G216" s="10" t="s">
        <v>14</v>
      </c>
      <c r="H216" s="10"/>
      <c r="I216" s="10"/>
    </row>
    <row r="217" spans="1:9" x14ac:dyDescent="0.25">
      <c r="A217" s="90" t="s">
        <v>48</v>
      </c>
      <c r="B217" s="26"/>
      <c r="C217" s="10">
        <v>2100021880</v>
      </c>
      <c r="D217" s="11" t="s">
        <v>181</v>
      </c>
      <c r="E217" s="10">
        <v>1</v>
      </c>
      <c r="F217" s="10">
        <f>E217*($F$212+$F$213+$F$214)</f>
        <v>47</v>
      </c>
      <c r="G217" s="10" t="s">
        <v>14</v>
      </c>
      <c r="H217" s="10"/>
      <c r="I217" s="10"/>
    </row>
    <row r="218" spans="1:9" x14ac:dyDescent="0.25">
      <c r="A218" s="90" t="s">
        <v>48</v>
      </c>
      <c r="B218" s="26"/>
      <c r="C218" s="10">
        <v>2200022070</v>
      </c>
      <c r="D218" s="11" t="s">
        <v>218</v>
      </c>
      <c r="E218" s="10">
        <v>1</v>
      </c>
      <c r="F218" s="10">
        <f>E218*($F$212+$F$213+$F$214)</f>
        <v>47</v>
      </c>
      <c r="G218" s="10" t="s">
        <v>14</v>
      </c>
      <c r="H218" s="10"/>
      <c r="I218" s="10"/>
    </row>
    <row r="219" spans="1:9" x14ac:dyDescent="0.25">
      <c r="A219" s="244" t="s">
        <v>62</v>
      </c>
      <c r="B219" s="245"/>
      <c r="C219" s="245"/>
      <c r="D219" s="245"/>
      <c r="E219" s="245"/>
      <c r="F219" s="245"/>
      <c r="G219" s="245"/>
      <c r="H219" s="245"/>
      <c r="I219" s="246"/>
    </row>
    <row r="220" spans="1:9" ht="40.200000000000003" x14ac:dyDescent="0.25">
      <c r="A220" s="228" t="s">
        <v>228</v>
      </c>
      <c r="B220" s="229"/>
      <c r="C220" s="230"/>
      <c r="D220" s="11" t="s">
        <v>248</v>
      </c>
      <c r="E220" s="10"/>
      <c r="F220" s="50">
        <v>100</v>
      </c>
      <c r="G220" s="10" t="s">
        <v>14</v>
      </c>
      <c r="H220" s="10"/>
      <c r="I220" s="10"/>
    </row>
    <row r="221" spans="1:9" ht="40.200000000000003" x14ac:dyDescent="0.25">
      <c r="A221" s="231"/>
      <c r="B221" s="232"/>
      <c r="C221" s="233"/>
      <c r="D221" s="11" t="s">
        <v>249</v>
      </c>
      <c r="E221" s="10"/>
      <c r="F221" s="50">
        <v>100</v>
      </c>
      <c r="G221" s="10" t="s">
        <v>14</v>
      </c>
      <c r="H221" s="10"/>
      <c r="I221" s="10"/>
    </row>
    <row r="222" spans="1:9" ht="40.200000000000003" x14ac:dyDescent="0.25">
      <c r="A222" s="231"/>
      <c r="B222" s="232"/>
      <c r="C222" s="233"/>
      <c r="D222" s="11" t="s">
        <v>250</v>
      </c>
      <c r="E222" s="10"/>
      <c r="F222" s="50">
        <v>100</v>
      </c>
      <c r="G222" s="10" t="s">
        <v>14</v>
      </c>
      <c r="H222" s="10"/>
      <c r="I222" s="10"/>
    </row>
    <row r="223" spans="1:9" ht="40.200000000000003" x14ac:dyDescent="0.25">
      <c r="A223" s="231"/>
      <c r="B223" s="232"/>
      <c r="C223" s="233"/>
      <c r="D223" s="11" t="s">
        <v>251</v>
      </c>
      <c r="E223" s="10"/>
      <c r="F223" s="50">
        <v>100</v>
      </c>
      <c r="G223" s="10" t="s">
        <v>14</v>
      </c>
      <c r="H223" s="10"/>
      <c r="I223" s="10"/>
    </row>
    <row r="224" spans="1:9" ht="40.200000000000003" x14ac:dyDescent="0.25">
      <c r="A224" s="234"/>
      <c r="B224" s="235"/>
      <c r="C224" s="236"/>
      <c r="D224" s="11" t="s">
        <v>252</v>
      </c>
      <c r="E224" s="10"/>
      <c r="F224" s="50">
        <v>25</v>
      </c>
      <c r="G224" s="10" t="s">
        <v>84</v>
      </c>
      <c r="H224" s="10"/>
      <c r="I224" s="10"/>
    </row>
    <row r="225" spans="1:9" ht="40.200000000000003" x14ac:dyDescent="0.25">
      <c r="A225" s="228" t="s">
        <v>229</v>
      </c>
      <c r="B225" s="229"/>
      <c r="C225" s="230"/>
      <c r="D225" s="11" t="s">
        <v>248</v>
      </c>
      <c r="E225" s="10"/>
      <c r="F225" s="50"/>
      <c r="G225" s="10" t="s">
        <v>14</v>
      </c>
      <c r="H225" s="10"/>
      <c r="I225" s="10"/>
    </row>
    <row r="226" spans="1:9" ht="40.200000000000003" x14ac:dyDescent="0.25">
      <c r="A226" s="231"/>
      <c r="B226" s="232"/>
      <c r="C226" s="233"/>
      <c r="D226" s="11" t="s">
        <v>249</v>
      </c>
      <c r="E226" s="10"/>
      <c r="F226" s="50"/>
      <c r="G226" s="10" t="s">
        <v>14</v>
      </c>
      <c r="H226" s="10"/>
      <c r="I226" s="10"/>
    </row>
    <row r="227" spans="1:9" ht="40.200000000000003" x14ac:dyDescent="0.25">
      <c r="A227" s="231"/>
      <c r="B227" s="232"/>
      <c r="C227" s="233"/>
      <c r="D227" s="11" t="s">
        <v>250</v>
      </c>
      <c r="E227" s="10"/>
      <c r="F227" s="50"/>
      <c r="G227" s="10" t="s">
        <v>14</v>
      </c>
      <c r="H227" s="10"/>
      <c r="I227" s="10"/>
    </row>
    <row r="228" spans="1:9" ht="40.200000000000003" x14ac:dyDescent="0.25">
      <c r="A228" s="231"/>
      <c r="B228" s="232"/>
      <c r="C228" s="233"/>
      <c r="D228" s="11" t="s">
        <v>251</v>
      </c>
      <c r="E228" s="10"/>
      <c r="F228" s="50"/>
      <c r="G228" s="10" t="s">
        <v>14</v>
      </c>
      <c r="H228" s="10"/>
      <c r="I228" s="10"/>
    </row>
    <row r="229" spans="1:9" ht="40.200000000000003" x14ac:dyDescent="0.25">
      <c r="A229" s="234"/>
      <c r="B229" s="235"/>
      <c r="C229" s="236"/>
      <c r="D229" s="11" t="s">
        <v>252</v>
      </c>
      <c r="E229" s="10"/>
      <c r="F229" s="50"/>
      <c r="G229" s="10" t="s">
        <v>84</v>
      </c>
      <c r="H229" s="10"/>
      <c r="I229" s="10"/>
    </row>
  </sheetData>
  <autoFilter ref="A2:I229" xr:uid="{F0F213DC-DC2B-4D51-9233-57B26C04490D}">
    <filterColumn colId="5" showButton="0"/>
  </autoFilter>
  <mergeCells count="12">
    <mergeCell ref="A225:C229"/>
    <mergeCell ref="I198:I199"/>
    <mergeCell ref="I212:I214"/>
    <mergeCell ref="A1:C1"/>
    <mergeCell ref="E1:H1"/>
    <mergeCell ref="A220:C224"/>
    <mergeCell ref="A219:I219"/>
    <mergeCell ref="I113:I114"/>
    <mergeCell ref="H3:H18"/>
    <mergeCell ref="H19:H30"/>
    <mergeCell ref="H179:H189"/>
    <mergeCell ref="H190:H194"/>
  </mergeCells>
  <phoneticPr fontId="48" type="noConversion"/>
  <conditionalFormatting sqref="F174:F183">
    <cfRule type="expression" dxfId="8" priority="4">
      <formula>"if+$P$2&gt;0"</formula>
    </cfRule>
  </conditionalFormatting>
  <conditionalFormatting sqref="F4:G18">
    <cfRule type="expression" dxfId="7" priority="5">
      <formula>"if+$P$2&gt;0"</formula>
    </cfRule>
  </conditionalFormatting>
  <conditionalFormatting sqref="F20:G35 F105:G143 F191:F194">
    <cfRule type="expression" dxfId="6" priority="11">
      <formula>"if+$P$2&gt;0"</formula>
    </cfRule>
  </conditionalFormatting>
  <conditionalFormatting sqref="F37:G44 B104:G104">
    <cfRule type="expression" dxfId="5" priority="7">
      <formula>"if+$P$2&gt;0"</formula>
    </cfRule>
  </conditionalFormatting>
  <conditionalFormatting sqref="F73:G95 F97:G103">
    <cfRule type="expression" dxfId="4" priority="8">
      <formula>"if+$P$2&gt;0"</formula>
    </cfRule>
  </conditionalFormatting>
  <conditionalFormatting sqref="F145:G147 F198:G218">
    <cfRule type="expression" dxfId="3" priority="9">
      <formula>"if+$P$2&gt;0"</formula>
    </cfRule>
  </conditionalFormatting>
  <conditionalFormatting sqref="G45:G72 F59:F71 B100:G100 F149:G152 F154:F162">
    <cfRule type="expression" dxfId="2" priority="10">
      <formula>"if+$P$2&gt;0"</formula>
    </cfRule>
  </conditionalFormatting>
  <conditionalFormatting sqref="G144">
    <cfRule type="expression" dxfId="1" priority="6">
      <formula>"if+$P$2&gt;0"</formula>
    </cfRule>
  </conditionalFormatting>
  <conditionalFormatting sqref="G154:G197">
    <cfRule type="expression" dxfId="0" priority="3">
      <formula>"if+$P$2&gt;0"</formula>
    </cfRule>
  </conditionalFormatting>
  <pageMargins left="0.7" right="0.7" top="0.75" bottom="0.75" header="0.3" footer="0.3"/>
  <pageSetup paperSize="8" scale="38" fitToHeight="0" orientation="portrait" r:id="rId1"/>
  <rowBreaks count="2" manualBreakCount="2">
    <brk id="83" max="8" man="1"/>
    <brk id="162" max="8" man="1"/>
  </rowBreaks>
</worksheet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NO FLT LIST</vt:lpstr>
      <vt:lpstr>FINAL ASSEMBLY</vt:lpstr>
      <vt:lpstr>EY SALAD</vt:lpstr>
      <vt:lpstr>Sandwich </vt:lpstr>
      <vt:lpstr>Protein</vt:lpstr>
      <vt:lpstr>Dressing</vt:lpstr>
      <vt:lpstr>Cooking list</vt:lpstr>
      <vt:lpstr>BC FRUIT</vt:lpstr>
      <vt:lpstr>'BC FRUIT'!Print_Area</vt:lpstr>
      <vt:lpstr>'Cooking list'!Print_Area</vt:lpstr>
      <vt:lpstr>Dressing!Print_Area</vt:lpstr>
      <vt:lpstr>'EY SALAD'!Print_Area</vt:lpstr>
      <vt:lpstr>Protein!Print_Area</vt:lpstr>
      <vt:lpstr>'Sandwich '!Print_Area</vt:lpstr>
      <vt:lpstr>'Cooking list'!Print_Titles</vt:lpstr>
      <vt:lpstr>Dressing!Print_Titles</vt:lpstr>
      <vt:lpstr>'Sandwich 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Tao Zhou</cp:lastModifiedBy>
  <cp:lastPrinted>2026-05-31T00:43:40Z</cp:lastPrinted>
  <dcterms:created xsi:type="dcterms:W3CDTF">2023-12-07T01:34:37Z</dcterms:created>
  <dcterms:modified xsi:type="dcterms:W3CDTF">2026-06-01T03:06:53Z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4976fac2-3147-4095-89f0-ec332fb3dd02_Enabled">
    <vt:lpwstr>true</vt:lpwstr>
  </property>
  <property fmtid="{D5CDD505-2E9C-101B-9397-08002B2CF9AE}" pid="5" name="MSIP_Label_4976fac2-3147-4095-89f0-ec332fb3dd02_SetDate">
    <vt:lpwstr>2024-05-27T07:10:26Z</vt:lpwstr>
  </property>
  <property fmtid="{D5CDD505-2E9C-101B-9397-08002B2CF9AE}" pid="6" name="MSIP_Label_4976fac2-3147-4095-89f0-ec332fb3dd02_Method">
    <vt:lpwstr>Standard</vt:lpwstr>
  </property>
  <property fmtid="{D5CDD505-2E9C-101B-9397-08002B2CF9AE}" pid="7" name="MSIP_Label_4976fac2-3147-4095-89f0-ec332fb3dd02_Name">
    <vt:lpwstr>4976fac2-3147-4095-89f0-ec332fb3dd02</vt:lpwstr>
  </property>
  <property fmtid="{D5CDD505-2E9C-101B-9397-08002B2CF9AE}" pid="8" name="MSIP_Label_4976fac2-3147-4095-89f0-ec332fb3dd02_SiteId">
    <vt:lpwstr>c0e017e8-740f-4b42-aae5-0b63598c7942</vt:lpwstr>
  </property>
  <property fmtid="{D5CDD505-2E9C-101B-9397-08002B2CF9AE}" pid="9" name="MSIP_Label_4976fac2-3147-4095-89f0-ec332fb3dd02_ActionId">
    <vt:lpwstr>ee867715-a695-4821-9c7f-4b90281eee83</vt:lpwstr>
  </property>
  <property fmtid="{D5CDD505-2E9C-101B-9397-08002B2CF9AE}" pid="10" name="MSIP_Label_4976fac2-3147-4095-89f0-ec332fb3dd02_ContentBits">
    <vt:lpwstr>0</vt:lpwstr>
  </property>
</Properties>
</file>